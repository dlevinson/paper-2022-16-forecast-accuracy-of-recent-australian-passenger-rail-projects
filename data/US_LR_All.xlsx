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yadiwang/Desktop/Paper_Data/Alternative_paper/"/>
    </mc:Choice>
  </mc:AlternateContent>
  <xr:revisionPtr revIDLastSave="0" documentId="13_ncr:1_{B10DF45C-9D41-7C44-AF9F-D1DA069BAFCF}" xr6:coauthVersionLast="47" xr6:coauthVersionMax="47" xr10:uidLastSave="{00000000-0000-0000-0000-000000000000}"/>
  <bookViews>
    <workbookView xWindow="0" yWindow="500" windowWidth="28800" windowHeight="15800" xr2:uid="{00000000-000D-0000-FFFF-FFFF00000000}"/>
  </bookViews>
  <sheets>
    <sheet name="US_LR_All" sheetId="1" r:id="rId1"/>
    <sheet name="Projects Overview" sheetId="2" r:id="rId2"/>
    <sheet name="Criteria of LPA Approval" sheetId="4" r:id="rId3"/>
    <sheet name="At least 4-year lag of Const." sheetId="5" r:id="rId4"/>
    <sheet name="Fake Alts " sheetId="6" r:id="rId5"/>
    <sheet name="DART North Central Cord."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0" i="2" l="1"/>
  <c r="D22" i="7"/>
  <c r="D23" i="7"/>
  <c r="E15" i="7"/>
  <c r="F15" i="7"/>
  <c r="D15" i="7"/>
  <c r="C15" i="7"/>
  <c r="C6" i="7"/>
  <c r="C7" i="7"/>
  <c r="C11" i="7"/>
  <c r="C12" i="7"/>
  <c r="C13" i="7"/>
  <c r="C14" i="7"/>
  <c r="C5" i="7"/>
  <c r="Q14" i="5"/>
  <c r="Q13" i="5"/>
  <c r="Q12" i="5"/>
  <c r="Q11" i="5"/>
  <c r="Q10" i="5"/>
  <c r="Q9" i="5"/>
  <c r="Q8" i="5"/>
  <c r="Q7" i="5"/>
  <c r="Q6" i="5"/>
  <c r="Q5" i="5"/>
  <c r="Q4" i="5"/>
  <c r="Q3" i="5"/>
  <c r="R4" i="2"/>
  <c r="R5" i="2"/>
  <c r="R6" i="2"/>
  <c r="R7" i="2"/>
  <c r="R8" i="2"/>
  <c r="R9" i="2"/>
  <c r="R10" i="2"/>
  <c r="R11" i="2"/>
  <c r="R12" i="2"/>
  <c r="R13" i="2"/>
  <c r="R14" i="2"/>
  <c r="R15" i="2"/>
  <c r="R16" i="2"/>
  <c r="R17" i="2"/>
  <c r="R18" i="2"/>
  <c r="R19" i="2"/>
  <c r="R20" i="2"/>
  <c r="R21" i="2"/>
  <c r="R22" i="2"/>
  <c r="R23" i="2"/>
  <c r="R24" i="2"/>
  <c r="R25" i="2"/>
  <c r="R26" i="2"/>
  <c r="R27" i="2"/>
  <c r="R28" i="2"/>
  <c r="R29" i="2"/>
  <c r="R31" i="2"/>
  <c r="R32" i="2"/>
  <c r="R33" i="2"/>
  <c r="R34" i="2"/>
  <c r="R35" i="2"/>
  <c r="R36" i="2"/>
  <c r="R37" i="2"/>
  <c r="R38" i="2"/>
  <c r="R39" i="2"/>
  <c r="R40" i="2"/>
  <c r="R41" i="2"/>
  <c r="R42" i="2"/>
  <c r="R43" i="2"/>
  <c r="R44" i="2"/>
  <c r="R45" i="2"/>
  <c r="R3" i="2"/>
</calcChain>
</file>

<file path=xl/sharedStrings.xml><?xml version="1.0" encoding="utf-8"?>
<sst xmlns="http://schemas.openxmlformats.org/spreadsheetml/2006/main" count="1182" uniqueCount="453">
  <si>
    <t>Cost Effective Measures</t>
  </si>
  <si>
    <t>DEIS CEI (alternative's cost per new passenger relative to the TSM)</t>
  </si>
  <si>
    <t>FEIS</t>
  </si>
  <si>
    <t>Substantial Changes in Alts?</t>
  </si>
  <si>
    <t>Causes</t>
  </si>
  <si>
    <t>Reasons of LPA Slection</t>
  </si>
  <si>
    <t>No-Build Alt</t>
  </si>
  <si>
    <t>Year</t>
  </si>
  <si>
    <t>ID</t>
  </si>
  <si>
    <t>EIS</t>
  </si>
  <si>
    <t>Federal Funding %</t>
  </si>
  <si>
    <t>City</t>
  </si>
  <si>
    <t>State</t>
  </si>
  <si>
    <t>Keyword</t>
  </si>
  <si>
    <t>Type</t>
  </si>
  <si>
    <t>Length (miles)</t>
  </si>
  <si>
    <t>No. Sta</t>
  </si>
  <si>
    <t>CEI Infor page</t>
  </si>
  <si>
    <t>Mode Considered</t>
  </si>
  <si>
    <t>No. of Alts (Inc. NB)</t>
  </si>
  <si>
    <t>LPA's CEI</t>
  </si>
  <si>
    <t>2nd best (lowest) Alt CEI</t>
  </si>
  <si>
    <t>Highest CEI</t>
  </si>
  <si>
    <t>Lowest CEI</t>
  </si>
  <si>
    <t>No. of Alts (Include No Build)</t>
  </si>
  <si>
    <t>2nd Alt CEI</t>
  </si>
  <si>
    <t xml:space="preserve">DEIS </t>
  </si>
  <si>
    <t xml:space="preserve">SEDIS </t>
  </si>
  <si>
    <t xml:space="preserve">FEIS </t>
  </si>
  <si>
    <t xml:space="preserve">Construction </t>
  </si>
  <si>
    <t xml:space="preserve">Completion </t>
  </si>
  <si>
    <t>Notes</t>
  </si>
  <si>
    <t>Ridership Source</t>
  </si>
  <si>
    <t>03BA_2_1</t>
  </si>
  <si>
    <t>yes</t>
  </si>
  <si>
    <t>BWI, Hunt Valley, Penn Station Ext- Hunt Valley Extension</t>
  </si>
  <si>
    <t>Baltimore</t>
  </si>
  <si>
    <t>MD</t>
  </si>
  <si>
    <t>Lightrail</t>
  </si>
  <si>
    <t>Extension</t>
  </si>
  <si>
    <t>UMTA CEI</t>
  </si>
  <si>
    <t>DEIS P.88; 572; FEIS P.339</t>
  </si>
  <si>
    <t>No</t>
  </si>
  <si>
    <t>1. Provided more direct and faster transit service, attract more riders
2. Provide better service to the employment concentrations in the western side of Hunt Valley  and at the least cost</t>
  </si>
  <si>
    <t>The no-build alternative represents conditions which would be present in Hunt Valley in the year 2005 based on current projects - existing conditions (streets, highgway, transit network, traffic conditions) and improvements planned by the year 2005 (planned street and highway improvements, new development and planned transit improvements)</t>
  </si>
  <si>
    <t>03BA_2_2</t>
  </si>
  <si>
    <t>BWI, Hunt Valley, Penn Station Ext- BWI- Baltimore Washington International Airport Extension</t>
  </si>
  <si>
    <t>no</t>
  </si>
  <si>
    <t>03BA_5</t>
  </si>
  <si>
    <t>Dallas</t>
  </si>
  <si>
    <t>TX</t>
  </si>
  <si>
    <t>Initial Line</t>
  </si>
  <si>
    <t>DEIS p.343</t>
  </si>
  <si>
    <t>20BA_17</t>
  </si>
  <si>
    <t>West Corridor LRT (W line)</t>
  </si>
  <si>
    <t>Denver</t>
  </si>
  <si>
    <t>CO</t>
  </si>
  <si>
    <t>Construction</t>
  </si>
  <si>
    <t xml:space="preserve">no </t>
  </si>
  <si>
    <t>03BA_7</t>
  </si>
  <si>
    <t>Southeast Corridor LRT</t>
  </si>
  <si>
    <t>no, gives rating instead of a value</t>
  </si>
  <si>
    <t>20BA_18</t>
  </si>
  <si>
    <t>Houston</t>
  </si>
  <si>
    <t>20BA_27</t>
  </si>
  <si>
    <t>07BA_11</t>
  </si>
  <si>
    <t>Minneapolis</t>
  </si>
  <si>
    <t>MN</t>
  </si>
  <si>
    <t>yes, but uncomparable to other projects since it used surplus</t>
  </si>
  <si>
    <t xml:space="preserve">Bus/HOV, LRT </t>
  </si>
  <si>
    <t>20BA_22</t>
  </si>
  <si>
    <t xml:space="preserve">(Green Line) Central Corridor Light Rail Transit </t>
  </si>
  <si>
    <t>Minneapolis-St. Paul</t>
  </si>
  <si>
    <t>LRT, BRT</t>
  </si>
  <si>
    <t>07BA_13</t>
  </si>
  <si>
    <t>Hudson Bergen MOS 1&amp; MOS 2** (Hudson river waterfrount transportation corridor)</t>
  </si>
  <si>
    <t>Jersey City</t>
  </si>
  <si>
    <t>NJ</t>
  </si>
  <si>
    <t>DEIS p.354; FEIS P.37</t>
  </si>
  <si>
    <t>LRT, (express) Bus, Automated Guideway Transit</t>
  </si>
  <si>
    <t>07BA_12</t>
  </si>
  <si>
    <t>Newark-Elizabeth MOS 1</t>
  </si>
  <si>
    <t>Newark</t>
  </si>
  <si>
    <t>1(8.8)</t>
  </si>
  <si>
    <t>20BA_14</t>
  </si>
  <si>
    <t>Norfolk-Virginia Beach Light Rail Transit System East/West Corridor Project</t>
  </si>
  <si>
    <t>Norfolk</t>
  </si>
  <si>
    <t>VA</t>
  </si>
  <si>
    <t>DEIS p.559</t>
  </si>
  <si>
    <t>Bus, LRT</t>
  </si>
  <si>
    <t>13BA_10</t>
  </si>
  <si>
    <t>The Tide Light Rail (Hampton Road)</t>
  </si>
  <si>
    <t>DEIS p. 562</t>
  </si>
  <si>
    <t>20BA_3</t>
  </si>
  <si>
    <t>Central Phoenix / East Valley Light Rail</t>
  </si>
  <si>
    <t>Phoenix</t>
  </si>
  <si>
    <t>AZ</t>
  </si>
  <si>
    <t>yes, but limited</t>
  </si>
  <si>
    <t>3 (NB, LRT-MOS, LRT-Full)</t>
  </si>
  <si>
    <t>20BA_15</t>
  </si>
  <si>
    <t>North Shore LRT Connector</t>
  </si>
  <si>
    <t>Pittsburgh</t>
  </si>
  <si>
    <t>PA</t>
  </si>
  <si>
    <t>DEIS p.471</t>
  </si>
  <si>
    <t>20BA_6</t>
  </si>
  <si>
    <t>Max Green Line (South Corridor I-205/Portland Mall LRT)</t>
  </si>
  <si>
    <t>Portland</t>
  </si>
  <si>
    <t>OR</t>
  </si>
  <si>
    <t>DEIS p.441</t>
  </si>
  <si>
    <t>Busway, LRT</t>
  </si>
  <si>
    <t>20BA_29</t>
  </si>
  <si>
    <t xml:space="preserve">South Corridor Portland-Milwaukie Light Rail </t>
  </si>
  <si>
    <t>yes, but no guidance provided</t>
  </si>
  <si>
    <t>DEIS p.381</t>
  </si>
  <si>
    <t>03BA_13</t>
  </si>
  <si>
    <t>Westside - Hillsboro (Portland Westside-Hillsboro LRT Extension)</t>
  </si>
  <si>
    <t>DEIS p. 399; FEIS p.26</t>
  </si>
  <si>
    <t>LRT</t>
  </si>
  <si>
    <t>20BA_24</t>
  </si>
  <si>
    <t>South Sacramento Corridor Project Phase 2</t>
  </si>
  <si>
    <t>Sacramento</t>
  </si>
  <si>
    <t>CA</t>
  </si>
  <si>
    <t>07BA_16</t>
  </si>
  <si>
    <t>6.3(11.3)</t>
  </si>
  <si>
    <t>DEIS p. 436</t>
  </si>
  <si>
    <t>20BA_13</t>
  </si>
  <si>
    <t>Mid Jordan LRT</t>
  </si>
  <si>
    <t>Salt Lake City</t>
  </si>
  <si>
    <t>UT</t>
  </si>
  <si>
    <t>DEIS p.375</t>
  </si>
  <si>
    <t>LRT, bus</t>
  </si>
  <si>
    <t>3 (no action, enhanced bus, LRT)</t>
  </si>
  <si>
    <t>20BA_19</t>
  </si>
  <si>
    <t>Draper Transit Corridor</t>
  </si>
  <si>
    <t>DEIS p.673; FEIS p. 32,44, 709</t>
  </si>
  <si>
    <t>the capital cost of alternative C-full build exceeds the funding resources of the UTA. Consequently, the project team evaluated constructing the project in phases by constructing only a minimum operable segment</t>
  </si>
  <si>
    <t>The 19.26 CEI for fullly-build Alt C ranks the lowest, but the UTA does not have the financial capacity to build the full alignment, where a minimum operable segment alignment was developed that terminated the extensino at draper town center)</t>
  </si>
  <si>
    <t>07BA_17</t>
  </si>
  <si>
    <t>University &amp; Medical Center Extensions** (Airport to University West-East Corridor Study Salt Lak est-East Corridor Study Salt Lake City</t>
  </si>
  <si>
    <t>Net annual cost vs. added annual riders</t>
  </si>
  <si>
    <t>DEIS p.79,119</t>
  </si>
  <si>
    <t>Bus/hOV, LRT, (Fixed-Guideway Transit (ppl-mover and monarail), commuter rail, roadways)</t>
  </si>
  <si>
    <t>03BA_15</t>
  </si>
  <si>
    <t>El Cajon Extension (East Urban Corridor Transit Improvements)</t>
  </si>
  <si>
    <t>San Diego</t>
  </si>
  <si>
    <t>DEIS p.285; FEIS p.286, 291</t>
  </si>
  <si>
    <t>1. LRT requires less subsidy and have higher overall farebox recovery ratios
2. Higher transit ridership
3. Reduced congestion
4. LRT would save about twice as many hours of travel as best bus alte
5.CEI
6. LRT create opportunities for joint development with private sector
7. LRT creat more jobs in the corridor, better economic impacts
8. Higher new rider attraction
9. LRT has better community support</t>
  </si>
  <si>
    <t>07BA_19</t>
  </si>
  <si>
    <t>BART to SFO</t>
  </si>
  <si>
    <t>San Francisco</t>
  </si>
  <si>
    <t>DEIS p.45; FEIS P.55, 426</t>
  </si>
  <si>
    <t>6 (NB, TSM, 3NEW, 1992LPA)</t>
  </si>
  <si>
    <t>Yes</t>
  </si>
  <si>
    <t xml:space="preserve">localized station area impacts, traffic effects, loss of wetlands, and disturbance to endangered species  habitat prompted consideration of a revised set of alternatives </t>
  </si>
  <si>
    <t>1. Greater Community Support
2. Greatest inprovement in regional mobility (highest level of ridership, increased new transit ridership, intermodal connections
3. Preservation and Enhancement of the environment &amp; least  environmetal damaging practicable alternative (CA environmental protection agencies commented the 1992 LPA with an intermodal station west of HW101 would result in potentially significant impacts on high-quality wetlands and prime habitat for San Francisco gater snake.)
4. Direct Connectivity into the airport (direct service and highest number of passengers)</t>
  </si>
  <si>
    <t xml:space="preserve">
The No -Build Alternative transportation improvements consist of only those elements that will be in
operation or under construction by the time the DEIS/DEIR is completed in 1992.</t>
  </si>
  <si>
    <t>https://www.bart.gov/about/reports/ridership</t>
  </si>
  <si>
    <t>03BA_17</t>
  </si>
  <si>
    <t>Guadalupe Corridor</t>
  </si>
  <si>
    <t>San Jose</t>
  </si>
  <si>
    <t>Cost effectiveness</t>
  </si>
  <si>
    <t>DEIS p. 31; FEIS p. 29</t>
  </si>
  <si>
    <t>Busway/HOV, LRT, Freeway Busway, Expressway Busway, Commuter Rail</t>
  </si>
  <si>
    <t>03BA_18</t>
  </si>
  <si>
    <t>Tasman West LRT</t>
  </si>
  <si>
    <t>Santa Clare</t>
  </si>
  <si>
    <t>DEIS p.46</t>
  </si>
  <si>
    <t>20BA_10</t>
  </si>
  <si>
    <t>Central Link Initial Segment</t>
  </si>
  <si>
    <t>Seattle</t>
  </si>
  <si>
    <t>WA</t>
  </si>
  <si>
    <t>03BA_20</t>
  </si>
  <si>
    <t>MetroLink Extension</t>
  </si>
  <si>
    <t>St. Clair Co.</t>
  </si>
  <si>
    <t>MO</t>
  </si>
  <si>
    <t>03BA_21</t>
  </si>
  <si>
    <t>yes *</t>
  </si>
  <si>
    <t>MetroLink (St. Louis Metrolink Light Rail Project)</t>
  </si>
  <si>
    <t>St. Louis</t>
  </si>
  <si>
    <t>DEIS p.310</t>
  </si>
  <si>
    <t>Busway, shuttle bus, LRT</t>
  </si>
  <si>
    <t>Mission Valley East Transit Light Rail</t>
  </si>
  <si>
    <t>DEIS p.558; FEIS p. 532</t>
  </si>
  <si>
    <t>Annual Revenue Contribution covered</t>
  </si>
  <si>
    <t>20BA_1</t>
  </si>
  <si>
    <t>South Corridor LRT</t>
  </si>
  <si>
    <t>Charlotte</t>
  </si>
  <si>
    <t>NC</t>
  </si>
  <si>
    <t>Gilbert Road Extension</t>
  </si>
  <si>
    <t>Northwest Extention Phase 1</t>
  </si>
  <si>
    <t>Central Mesa Extension</t>
  </si>
  <si>
    <t>Green Line Light Rail</t>
  </si>
  <si>
    <t>Orange Line Light Rail</t>
  </si>
  <si>
    <t>Riverfront Green Line</t>
  </si>
  <si>
    <t>Blue Line (Original)</t>
  </si>
  <si>
    <t>Red Line (Original)</t>
  </si>
  <si>
    <t>Green Line (West Valley Extension)</t>
  </si>
  <si>
    <t>Aangle Lake Extension</t>
  </si>
  <si>
    <t>U-Link</t>
  </si>
  <si>
    <t>1 Line - Initial Segment</t>
  </si>
  <si>
    <t>Southern NJ Light Rail Transit System</t>
  </si>
  <si>
    <t>Trenton</t>
  </si>
  <si>
    <t>https://en.wikipedia.org/wiki/Baltimore_Light_RailLink</t>
  </si>
  <si>
    <t>wikipedia ref 11-14</t>
  </si>
  <si>
    <t>South Oak Cliff (Blue Line)</t>
  </si>
  <si>
    <t>Southeast Corridor Light Rail Transit, Dallas County (Green Line)</t>
  </si>
  <si>
    <t>North Central extension (Red Line)</t>
  </si>
  <si>
    <t>https://dart.org/about/DARTReferenceBookMar20.pdf</t>
  </si>
  <si>
    <t>available between 10-21</t>
  </si>
  <si>
    <t>https://www.dart.org/about/dartreferencebookapr12.pdf</t>
  </si>
  <si>
    <t>https://www.dart.org/about/dartreferencebookmar11.pdf</t>
  </si>
  <si>
    <t>https://data.imap.maryland.gov/datasets/c65b32c3c23f43169797f7b762ba1770/explore?location=39.334116%2C-76.645500%2C12.11&amp;showTable=true</t>
  </si>
  <si>
    <t>https://web.archive.org/web/20140901152151/http://mta.maryland.gov/sites/default/files/MTA_AR13.pdf</t>
  </si>
  <si>
    <t>wayback machine, might have infor about annual opeartion costs</t>
  </si>
  <si>
    <t>Operator</t>
  </si>
  <si>
    <t>DART</t>
  </si>
  <si>
    <t>(RTD) Regional Transportation District</t>
  </si>
  <si>
    <t>RTD</t>
  </si>
  <si>
    <t>DART (Dallas Area Rapid Transit)</t>
  </si>
  <si>
    <t>(MTA) Mass Transit Adm of Maryland</t>
  </si>
  <si>
    <t>MTA</t>
  </si>
  <si>
    <t>Southwest (Denver Southwest LRT Project - D Line)</t>
  </si>
  <si>
    <t>Southeast Corridor LRT (E, F Line)</t>
  </si>
  <si>
    <t>https://www.rtd-denver.com/service-changes/service-development</t>
  </si>
  <si>
    <t>Ridership Statistics Available between 2017-2019</t>
  </si>
  <si>
    <t>https://web.archive.org/web/20061230053409/http://www.rtd-denver.com/Projects/Fact_Sheets/SouthWest_Facts.pdf</t>
  </si>
  <si>
    <t>Southwest light rail ridership forecast</t>
  </si>
  <si>
    <t>https://web.archive.org/web/20070202023547/http://rtd-denver.com/</t>
  </si>
  <si>
    <t>2007 wayback machine</t>
  </si>
  <si>
    <t>(METRO) Metropolitan Transit Authority of Harris County</t>
  </si>
  <si>
    <t>METRO</t>
  </si>
  <si>
    <t>North Corridor Fixed Giudeway LRT(Extension to Main Street Line - named as North Hardy MetroRail Red Line)</t>
  </si>
  <si>
    <t>https://metrophotos.free.resourcespace.com/pages/search.php?search=%21collection16663</t>
  </si>
  <si>
    <t>2017-2019</t>
  </si>
  <si>
    <t>Southeast Corridor LRT (BRT convertible alternative, constitute BRT and Purple Line from Leeland to Palm Center)</t>
  </si>
  <si>
    <t>https://www.ridemetro.org/pages/ridershipreport.aspx</t>
  </si>
  <si>
    <t>Metro Transit</t>
  </si>
  <si>
    <t>Hiawatha LRT (TH 55 Hiawatha Avenue, Metro Blue Line)</t>
  </si>
  <si>
    <t>Project Title</t>
  </si>
  <si>
    <t>Line Name</t>
  </si>
  <si>
    <t>Blue Line</t>
  </si>
  <si>
    <t>Red Line</t>
  </si>
  <si>
    <t>Green Line</t>
  </si>
  <si>
    <t>W Line</t>
  </si>
  <si>
    <t>D Line</t>
  </si>
  <si>
    <t>E Line</t>
  </si>
  <si>
    <t>Purple Line</t>
  </si>
  <si>
    <t>https://www.metrotransit.org/metro-transit-facts</t>
  </si>
  <si>
    <t>Link</t>
  </si>
  <si>
    <t>2012-2020</t>
  </si>
  <si>
    <t>TriMet</t>
  </si>
  <si>
    <t>Max Green Line</t>
  </si>
  <si>
    <t>Max Orange Line</t>
  </si>
  <si>
    <t>Max Blue Line</t>
  </si>
  <si>
    <t>Max Yellow Line</t>
  </si>
  <si>
    <t>https://trimet.org/about/performance.htm</t>
  </si>
  <si>
    <t>Ridership and Performance Statistics - Route Ridership Reports 2016-2020</t>
  </si>
  <si>
    <t>North Corridor Interstate Max</t>
  </si>
  <si>
    <t>Gold Line</t>
  </si>
  <si>
    <t>South LRT Phase 1 (Sacramento South LRT Phase 1) Blue Line extension)</t>
  </si>
  <si>
    <t>(SacRT) Sacramento Regional Transit District</t>
  </si>
  <si>
    <t>SacRT</t>
  </si>
  <si>
    <t>Gold Line Extension Folsom Corridor (Downtown Sacramento-Folsom Corridor)</t>
  </si>
  <si>
    <t>https://web.archive.org/web/20181012160046/http://www.sacrt.com/aboutrt/RTPerfReports.aspx</t>
  </si>
  <si>
    <t>Quarterly ridership Report 2012-2020</t>
  </si>
  <si>
    <t>https://web.archive.org/web/20181001000000*/http://www.sacrt.com/aboutrt/RTPerfReports.aspx</t>
  </si>
  <si>
    <t>Clicked the oldest one, there are more available links</t>
  </si>
  <si>
    <t>(UTA) Utah Transit Authority</t>
  </si>
  <si>
    <t>UTA</t>
  </si>
  <si>
    <t>Sandy Line</t>
  </si>
  <si>
    <t>https://utahrails.net/uta/uta-trax-sandy.php</t>
  </si>
  <si>
    <t>Above link is an intro to sandy line</t>
  </si>
  <si>
    <t>https://utahrails.net/uta/uta-trax-index.php</t>
  </si>
  <si>
    <t>https://data-rideuta.opendata.arcgis.com/datasets/rideuta::uta-route-level-boardings-monthly-counts/explore?filters=eyJNb2RlIjpbIkxpZ2h0IFJhaWwiXX0%3D</t>
  </si>
  <si>
    <t>UTA Route-Level Boardings, Monthly Counts 2017-2022</t>
  </si>
  <si>
    <t>https://data-rideuta.opendata.arcgis.com/datasets/rideuta::uta-route-level-boardings-monthly-counts</t>
  </si>
  <si>
    <t>https://data-rideuta.opendata.arcgis.com/search?q=ridership</t>
  </si>
  <si>
    <t>Orange Line</t>
  </si>
  <si>
    <t>(MTS) San Diego Metropolitan Transit System</t>
  </si>
  <si>
    <t>MTS</t>
  </si>
  <si>
    <t>Mid-Coast Corridor Transit Improvement</t>
  </si>
  <si>
    <t>Y Line</t>
  </si>
  <si>
    <t>(BART) Bay Area Rapit Transit</t>
  </si>
  <si>
    <t>T Line</t>
  </si>
  <si>
    <t>Muni Metro</t>
  </si>
  <si>
    <t>T Third Street Light Rail (Phase 1)</t>
  </si>
  <si>
    <t>Central Subway Light Rail (Phase 2)</t>
  </si>
  <si>
    <t>https://www.sfog.us/sfmuni.htm</t>
  </si>
  <si>
    <t>The above linke access way backmachine</t>
  </si>
  <si>
    <t>Sound Transit</t>
  </si>
  <si>
    <t>(VTA) Santa Clara Valley Transportation Authority</t>
  </si>
  <si>
    <t>VTA</t>
  </si>
  <si>
    <t>Versona Extension</t>
  </si>
  <si>
    <t>Capitol Extension</t>
  </si>
  <si>
    <t>New Jersey Transit</t>
  </si>
  <si>
    <t>-</t>
  </si>
  <si>
    <t>Hampton Roads Transit</t>
  </si>
  <si>
    <t>Valley Metro</t>
  </si>
  <si>
    <t>Port Authority of Allegheny County</t>
  </si>
  <si>
    <t>Line 1</t>
  </si>
  <si>
    <t>Red, Blue and Silver Line</t>
  </si>
  <si>
    <t>(BSDA) Bi-State Development Agency</t>
  </si>
  <si>
    <t>BSDA</t>
  </si>
  <si>
    <t>Charlotte Area Transit</t>
  </si>
  <si>
    <t>Lynx Blue Line</t>
  </si>
  <si>
    <t>Northeast Corridor LRT Extention</t>
  </si>
  <si>
    <t>Bus, Shuttle Bus, LRT</t>
  </si>
  <si>
    <t>1996/2000</t>
  </si>
  <si>
    <t>2000/2006</t>
  </si>
  <si>
    <t>2000/2001</t>
  </si>
  <si>
    <t>2001/2003</t>
  </si>
  <si>
    <t>Open</t>
  </si>
  <si>
    <t>Const.</t>
  </si>
  <si>
    <t>Hunt Valley Extension</t>
  </si>
  <si>
    <t xml:space="preserve">North Central Extension </t>
  </si>
  <si>
    <t xml:space="preserve">South Oak Cliff </t>
  </si>
  <si>
    <t xml:space="preserve">West Corridor LRT </t>
  </si>
  <si>
    <t>Southwest LRT Project</t>
  </si>
  <si>
    <t>North Hardy MetroRail Red Line</t>
  </si>
  <si>
    <t xml:space="preserve">Hiawatha LRT </t>
  </si>
  <si>
    <t>Central Corridor LRT</t>
  </si>
  <si>
    <t>Hudson Bergen MOS 1&amp; MOS 2</t>
  </si>
  <si>
    <t>Newark-Elizabeth</t>
  </si>
  <si>
    <t xml:space="preserve">The Tide Light Rail </t>
  </si>
  <si>
    <t>Central Phoenix/East Valley LRT</t>
  </si>
  <si>
    <t>International Airport Extension</t>
  </si>
  <si>
    <t>South Sacramento LRT Phase 2</t>
  </si>
  <si>
    <t>South Sacramento LRT Phase 1</t>
  </si>
  <si>
    <t>University &amp; Medical CenterLRT</t>
  </si>
  <si>
    <t>El Cajon Extension</t>
  </si>
  <si>
    <t>Mission Valley East LRT</t>
  </si>
  <si>
    <t>Mid-Coast Corridor LRT</t>
  </si>
  <si>
    <t>T Third Street LRT</t>
  </si>
  <si>
    <t>Central Subway LRT</t>
  </si>
  <si>
    <t>Guadalupe Line lRT</t>
  </si>
  <si>
    <t>MetroLink</t>
  </si>
  <si>
    <t xml:space="preserve">Northeast Corridor LRT </t>
  </si>
  <si>
    <t>Fed Fund %</t>
  </si>
  <si>
    <t>BART</t>
  </si>
  <si>
    <t>In. L</t>
  </si>
  <si>
    <t>Ext.</t>
  </si>
  <si>
    <t xml:space="preserve">Westside-Hillsboro LRT </t>
  </si>
  <si>
    <t>BRT, BRT Conv., LRT</t>
  </si>
  <si>
    <t>LRT, Bus, AGT</t>
  </si>
  <si>
    <t>Bus, LRT, CR, HR</t>
  </si>
  <si>
    <t>Bus/HOV, LRT, CR, Roadways</t>
  </si>
  <si>
    <t xml:space="preserve">No. of Alts </t>
  </si>
  <si>
    <t xml:space="preserve">No. </t>
  </si>
  <si>
    <t>I-205/Portland Mall LRT</t>
  </si>
  <si>
    <t>Portland-Milwaukie LRT</t>
  </si>
  <si>
    <t>All Lines</t>
  </si>
  <si>
    <t xml:space="preserve">Downtown Sacramento-Folsom </t>
  </si>
  <si>
    <t>Port Auth of Allegheny Co</t>
  </si>
  <si>
    <t>The baseline alternative</t>
  </si>
  <si>
    <t>No-Build</t>
  </si>
  <si>
    <t>The no-build alternative represents conditions which would be present in the project corridor in the future based on current projects - existing conditions (streets, highgway, transit network, traffic conditions) and improvements planned by the year the project DEIS/FEIS completed (including planned street and highway improvements, new development and planned transit improvements).</t>
  </si>
  <si>
    <t>Do-minimum 
(TSM)</t>
  </si>
  <si>
    <t>The TSM alternative is a low (to medium) capital cost approach for addressing the need for transit improvements in the project corridor, which is designated to be the baseline for eavaluating the cost-effectiveness of the build alternatives.
The TSM alternative generally involves in additional service and facilities to improve service in the project corridor. For instance, increased headways, skip-stop or express (bus) transit services, additional bus fleet, additional bus stops, procurement of hybrid buses (for environmental concers), upgraded or additional maintenance facility, additional park-and-ride lots.</t>
  </si>
  <si>
    <t>Reasons for approving LRT as the LPA</t>
  </si>
  <si>
    <t>Operating Performance</t>
  </si>
  <si>
    <t>The LRT alternatives would result in better operating cost savings, have higher farebox revenues (as compared to bus alternatives), requre lower operating subsidies, and thus generate higher overall farebox recovery ratios.
The capacity of the LRT system can be economically expanded by utilizing longer rolling stock without additional drivers, resulting in no increase in labour costs and relatively small increase in  operating costs.</t>
  </si>
  <si>
    <t>Ridership</t>
  </si>
  <si>
    <t>LRT services would carry more riders than bus alternatives and attract more new riders.
According to a survey to people who did not rider transit(central line LRT), transit must be fast, and transit stops must be close to homes and business area and have enough park and ride lots.
The survey results shows that the LRT would be more successful in attracting new riders.</t>
  </si>
  <si>
    <t>Connectivity</t>
  </si>
  <si>
    <t>Intermodal connections, direct connectivity into airport, university, hospital, transit centers and business centers.</t>
  </si>
  <si>
    <t>Level of Service</t>
  </si>
  <si>
    <t>LRT provides more direct and faster transit services with better on-time performances, which is particularly conducive to improve the level of service to urban areas with high employment concentrations.
In addition, operating in its own right-of-way keeps LRT service quality away from the impact of roadway congestions.</t>
  </si>
  <si>
    <t>Traffic Congetion</t>
  </si>
  <si>
    <t>LRT operates on its own right-of-way. As a result, LRT service is superior to bus alternatives in terms of congestion reduction.</t>
  </si>
  <si>
    <t>Travel Time</t>
  </si>
  <si>
    <t>According to the EISs, the LRT alternatives could save up to three times (EL Cajon LRT) as may hours of travel as the best bus alternative.</t>
  </si>
  <si>
    <t>Cost Effectiveness</t>
  </si>
  <si>
    <t>LRT generates the highest cost-effectiveness index in comparison to other alternatives (in different transit modes).
For the same transit mode, the CEI is also commonly used to determine the best termination point of the LRT route.</t>
  </si>
  <si>
    <t>Funding Availibility</t>
  </si>
  <si>
    <t>There are cases where the LPA was splited into a few minimum operable segments (MOS) which would be delivered in stages. This happens when the capital cost of the full-build LPA exceeds the available funding resources and additional funding resources are uncertain.</t>
  </si>
  <si>
    <t>Job Opportunities</t>
  </si>
  <si>
    <t>The construction of LRT is more complicated than buses, creating more construction jobs and thus have a beneficial effect on local economic activity.</t>
  </si>
  <si>
    <t>Community Support</t>
  </si>
  <si>
    <t>Economic Development</t>
  </si>
  <si>
    <t xml:space="preserve">In comparison to bus alternatives, LRT can directly serve those areas seeking for redevelopment, revitalization or intensified development by providing a station.
Due to the absence of access to transit centers, private sector partners are more willing to involve in joint development at or in vicinity to LRT stations than that at bus stations. </t>
  </si>
  <si>
    <t>Reasons for substantial changes in LPA</t>
  </si>
  <si>
    <t>Environmental Concerns</t>
  </si>
  <si>
    <t>(BART TO SOF LRT) Loss of wetlands, and disturbance to endangered species habitat (one of the proposed LRT intermodal station would have potentially significant impacts on high-quality wetlands and prime habitat for San Francisco gater snake.)</t>
  </si>
  <si>
    <t>Localized impact on project area</t>
  </si>
  <si>
    <t>Land use effects around stations, impact on utility arrangement, noise effects from transit operations and construction activities.</t>
  </si>
  <si>
    <t>Mode Considered in DEIS</t>
  </si>
  <si>
    <t>Difc.Alt</t>
  </si>
  <si>
    <t>BUS</t>
  </si>
  <si>
    <t>Advantages given to different modes</t>
  </si>
  <si>
    <t>Fare charged</t>
  </si>
  <si>
    <t>No. of Stops</t>
  </si>
  <si>
    <t>Frequency of Services</t>
  </si>
  <si>
    <t>Extra Transit Center</t>
  </si>
  <si>
    <t>Additional/Expanded park-and-ride lot</t>
  </si>
  <si>
    <t>New Stations</t>
  </si>
  <si>
    <t>Express/Limited-stop service</t>
  </si>
  <si>
    <t>Shorter headway</t>
  </si>
  <si>
    <t>Increased no. of bus fleet</t>
  </si>
  <si>
    <t>The flexibility of increasing service frequency in the future</t>
  </si>
  <si>
    <t>Extra maintenance and storage facility</t>
  </si>
  <si>
    <t>Cost estimation</t>
  </si>
  <si>
    <t>Capital Cost Estimate</t>
  </si>
  <si>
    <t>O&amp;M Cost Estimate</t>
  </si>
  <si>
    <t>Trip/Ridership Information</t>
  </si>
  <si>
    <t>Linked Transit Trips</t>
  </si>
  <si>
    <t>Transit passenger miles</t>
  </si>
  <si>
    <t>Transit passenger hours</t>
  </si>
  <si>
    <t>Total Unlinked Transit Trips</t>
  </si>
  <si>
    <t>(Local Bus)</t>
  </si>
  <si>
    <t>(Express Bus)</t>
  </si>
  <si>
    <t>(Fixed Guideway)</t>
  </si>
  <si>
    <t>(Added Transit Riders)</t>
  </si>
  <si>
    <t>Exclusive ROW (Inc. HOV Lane)</t>
  </si>
  <si>
    <t>LRT Stations</t>
  </si>
  <si>
    <t>Park Lane</t>
  </si>
  <si>
    <t>Walnut Hill</t>
  </si>
  <si>
    <t>Forest Lane</t>
  </si>
  <si>
    <t>LBJ Freeway</t>
  </si>
  <si>
    <t>Spring Valley</t>
  </si>
  <si>
    <t>Arapaho Road</t>
  </si>
  <si>
    <t>Campbell Road</t>
  </si>
  <si>
    <t>SH 190</t>
  </si>
  <si>
    <t>Parker Road</t>
  </si>
  <si>
    <t>15th Street</t>
  </si>
  <si>
    <t>2010 Forecast</t>
  </si>
  <si>
    <t>2010 Actual</t>
  </si>
  <si>
    <t>Total</t>
  </si>
  <si>
    <t>2008 Actual</t>
  </si>
  <si>
    <t>2009 Actual</t>
  </si>
  <si>
    <t>Total Station Ridership</t>
  </si>
  <si>
    <t>Total Daily station volume</t>
  </si>
  <si>
    <t>Total Daily Station Rider</t>
  </si>
  <si>
    <t>HOV Lane, but no exclusive ROW</t>
  </si>
  <si>
    <t>ROW</t>
  </si>
  <si>
    <t>Yes, by renovating and expand an existing interim station</t>
  </si>
  <si>
    <t>Yes, for terminus bus stations</t>
  </si>
  <si>
    <t>Total Linked Transit Trips</t>
  </si>
  <si>
    <t>2010 Transit System-Wide Daily Performance Measures</t>
  </si>
  <si>
    <t>TSM (Enhanced Bus)</t>
  </si>
  <si>
    <t>The LRT ridership would invrease from 44800 to 68700, with approximately 24000 daily passengers would use the North Central Corridor LRT System.</t>
  </si>
  <si>
    <t>An increase of 5800 unlinked transit traips and 8100 linked transit trips systemwide in 2010.</t>
  </si>
  <si>
    <t>Opened in 2002, constructed in 2001, FEIS in 1997, DEIS in 1996</t>
  </si>
  <si>
    <t>Yes, express service and extra circulator routes between major transit centers and major employment hub</t>
  </si>
  <si>
    <t>Yes, reduced from 15 mins to 10 mins during peak hour and 20 mins off peak</t>
  </si>
  <si>
    <t>Not specified</t>
  </si>
  <si>
    <t>Yes, and new terminus station</t>
  </si>
  <si>
    <t>Additional feeder services to existing and proposed CR and LRT services</t>
  </si>
  <si>
    <t>Direct bus access ramps at multimodal station</t>
  </si>
  <si>
    <t>what are the lost riders years</t>
  </si>
  <si>
    <t>https://data.vta.org/search?tags=Ridership</t>
  </si>
  <si>
    <t>VTA Open data portal</t>
  </si>
  <si>
    <t>https://www.arcgis.com/home/item.html?id=a3e899b0822e433fb52dda8a2d4f140c</t>
  </si>
  <si>
    <t>Above link ridership data .zip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</si>
</sst>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_);[Red]\(&quot;$&quot;#,##0.00\)"/>
  </numFmts>
  <fonts count="24"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sz val="12"/>
      <color theme="0" tint="-0.249977111117893"/>
      <name val="Calibri"/>
      <family val="2"/>
      <scheme val="minor"/>
    </font>
    <font>
      <i/>
      <sz val="12"/>
      <color theme="1"/>
      <name val="Calibri"/>
      <family val="2"/>
      <scheme val="minor"/>
    </font>
    <font>
      <sz val="12"/>
      <color theme="4" tint="-0.249977111117893"/>
      <name val="Calibri"/>
      <family val="2"/>
      <scheme val="minor"/>
    </font>
    <font>
      <b/>
      <sz val="12"/>
      <color theme="4" tint="-0.249977111117893"/>
      <name val="Calibri"/>
      <family val="2"/>
      <scheme val="minor"/>
    </font>
    <font>
      <i/>
      <sz val="12"/>
      <color theme="4" tint="-0.249977111117893"/>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0" fontId="18" fillId="0" borderId="0" applyNumberFormat="0" applyFill="0" applyBorder="0" applyAlignment="0" applyProtection="0"/>
  </cellStyleXfs>
  <cellXfs count="42">
    <xf numFmtId="0" fontId="0" fillId="0" borderId="0" xfId="0"/>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3" fillId="0" borderId="1" xfId="2" applyAlignment="1">
      <alignment vertical="top"/>
    </xf>
    <xf numFmtId="0" fontId="18" fillId="0" borderId="0" xfId="43" applyAlignment="1">
      <alignment vertical="top"/>
    </xf>
    <xf numFmtId="0" fontId="0" fillId="33" borderId="0" xfId="0" applyFill="1" applyAlignment="1">
      <alignment vertical="top"/>
    </xf>
    <xf numFmtId="0" fontId="0" fillId="0" borderId="0" xfId="0" applyAlignment="1">
      <alignment horizontal="left" vertical="top"/>
    </xf>
    <xf numFmtId="0" fontId="18" fillId="0" borderId="0" xfId="43" applyFill="1" applyAlignment="1">
      <alignment vertical="top"/>
    </xf>
    <xf numFmtId="0" fontId="19" fillId="0" borderId="0" xfId="0" applyFont="1" applyAlignment="1">
      <alignment vertical="top"/>
    </xf>
    <xf numFmtId="164" fontId="19" fillId="0" borderId="0" xfId="0" applyNumberFormat="1" applyFont="1" applyAlignment="1">
      <alignment vertical="top"/>
    </xf>
    <xf numFmtId="0" fontId="0" fillId="0" borderId="0" xfId="0" applyAlignment="1">
      <alignment horizontal="right" vertical="top"/>
    </xf>
    <xf numFmtId="9" fontId="0" fillId="0" borderId="0" xfId="42" applyFont="1" applyFill="1" applyAlignment="1">
      <alignment vertical="top"/>
    </xf>
    <xf numFmtId="0" fontId="0" fillId="0" borderId="0" xfId="0" applyAlignment="1">
      <alignment horizontal="left" vertical="top" wrapText="1"/>
    </xf>
    <xf numFmtId="0" fontId="0" fillId="34" borderId="0" xfId="0" applyFill="1" applyAlignment="1">
      <alignment vertical="top"/>
    </xf>
    <xf numFmtId="9" fontId="0" fillId="34" borderId="0" xfId="42" applyFont="1" applyFill="1" applyAlignment="1">
      <alignment vertical="top"/>
    </xf>
    <xf numFmtId="0" fontId="0" fillId="34" borderId="0" xfId="0" applyFill="1" applyAlignment="1">
      <alignment horizontal="right" vertical="top"/>
    </xf>
    <xf numFmtId="0" fontId="0" fillId="0" borderId="0" xfId="0" applyAlignment="1">
      <alignment horizontal="right"/>
    </xf>
    <xf numFmtId="0" fontId="16" fillId="0" borderId="0" xfId="0" applyFont="1"/>
    <xf numFmtId="0" fontId="20" fillId="0" borderId="0" xfId="0" applyFont="1" applyAlignment="1">
      <alignment horizontal="right"/>
    </xf>
    <xf numFmtId="0" fontId="20" fillId="0" borderId="0" xfId="0" applyFont="1"/>
    <xf numFmtId="0" fontId="0" fillId="0" borderId="0" xfId="0" applyAlignment="1">
      <alignment horizontal="left"/>
    </xf>
    <xf numFmtId="0" fontId="14" fillId="0" borderId="0" xfId="0" applyFont="1"/>
    <xf numFmtId="0" fontId="21" fillId="0" borderId="0" xfId="0" applyFont="1"/>
    <xf numFmtId="0" fontId="22" fillId="0" borderId="0" xfId="0" applyFont="1"/>
    <xf numFmtId="0" fontId="23" fillId="0" borderId="0" xfId="0" applyFont="1"/>
    <xf numFmtId="0" fontId="0" fillId="0" borderId="0" xfId="0" applyAlignment="1">
      <alignment wrapText="1"/>
    </xf>
    <xf numFmtId="0" fontId="0" fillId="0" borderId="0" xfId="0" applyAlignment="1">
      <alignment horizontal="right" vertical="center"/>
    </xf>
    <xf numFmtId="164" fontId="0" fillId="34" borderId="0" xfId="0" applyNumberFormat="1" applyFill="1" applyAlignment="1">
      <alignment vertical="top"/>
    </xf>
    <xf numFmtId="0" fontId="0" fillId="0" borderId="0" xfId="0" applyAlignment="1">
      <alignment horizontal="center" vertical="top"/>
    </xf>
    <xf numFmtId="0" fontId="18" fillId="0" borderId="0" xfId="43" applyFill="1" applyAlignment="1">
      <alignment vertical="top"/>
    </xf>
    <xf numFmtId="0" fontId="0" fillId="0" borderId="0" xfId="0" applyAlignment="1">
      <alignment vertical="top"/>
    </xf>
    <xf numFmtId="0" fontId="0" fillId="34" borderId="0" xfId="0" applyFill="1" applyAlignment="1">
      <alignment horizontal="center" vertical="top"/>
    </xf>
    <xf numFmtId="0" fontId="18" fillId="34" borderId="0" xfId="43" applyFill="1" applyAlignment="1">
      <alignment horizontal="left" vertical="top"/>
    </xf>
    <xf numFmtId="0" fontId="0" fillId="34" borderId="0" xfId="0" applyFill="1" applyAlignment="1">
      <alignment horizontal="left" vertical="top"/>
    </xf>
    <xf numFmtId="0" fontId="18" fillId="0" borderId="0" xfId="43" applyAlignment="1">
      <alignment vertical="top"/>
    </xf>
    <xf numFmtId="0" fontId="18" fillId="0" borderId="0" xfId="43" applyFill="1" applyAlignment="1">
      <alignment horizontal="center" vertical="top"/>
    </xf>
    <xf numFmtId="0" fontId="14" fillId="0" borderId="0" xfId="0" applyFont="1" applyAlignment="1">
      <alignment horizontal="center" vertical="top"/>
    </xf>
    <xf numFmtId="0" fontId="0" fillId="0" borderId="0" xfId="0"/>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n.wikipedia.org/wiki/Baltimore_Light_RailLink" TargetMode="External"/><Relationship Id="rId13" Type="http://schemas.openxmlformats.org/officeDocument/2006/relationships/hyperlink" Target="https://www.sfog.us/sfmuni.htm" TargetMode="External"/><Relationship Id="rId3" Type="http://schemas.openxmlformats.org/officeDocument/2006/relationships/hyperlink" Target="https://www.metrotransit.org/metro-transit-facts" TargetMode="External"/><Relationship Id="rId7" Type="http://schemas.openxmlformats.org/officeDocument/2006/relationships/hyperlink" Target="https://web.archive.org/web/20140901152151/http:/mta.maryland.gov/sites/default/files/MTA_AR13.pdf" TargetMode="External"/><Relationship Id="rId12" Type="http://schemas.openxmlformats.org/officeDocument/2006/relationships/hyperlink" Target="https://data-rideuta.opendata.arcgis.com/datasets/rideuta::uta-route-level-boardings-monthly-counts/explore?filters=eyJNb2RlIjpbIkxpZ2h0IFJhaWwiXX0%3D" TargetMode="External"/><Relationship Id="rId2" Type="http://schemas.openxmlformats.org/officeDocument/2006/relationships/hyperlink" Target="https://dart.org/about/DARTReferenceBookMar20.pdf" TargetMode="External"/><Relationship Id="rId1" Type="http://schemas.openxmlformats.org/officeDocument/2006/relationships/hyperlink" Target="https://www.rtd-denver.com/service-changes/service-development" TargetMode="External"/><Relationship Id="rId6" Type="http://schemas.openxmlformats.org/officeDocument/2006/relationships/hyperlink" Target="https://metrophotos.free.resourcespace.com/pages/search.php?search=%21collection16663" TargetMode="External"/><Relationship Id="rId11" Type="http://schemas.openxmlformats.org/officeDocument/2006/relationships/hyperlink" Target="https://utahrails.net/uta/uta-trax-sandy.php" TargetMode="External"/><Relationship Id="rId5" Type="http://schemas.openxmlformats.org/officeDocument/2006/relationships/hyperlink" Target="https://trimet.org/about/performance.htm" TargetMode="External"/><Relationship Id="rId10" Type="http://schemas.openxmlformats.org/officeDocument/2006/relationships/hyperlink" Target="https://utahrails.net/uta/uta-trax-index.php" TargetMode="External"/><Relationship Id="rId4" Type="http://schemas.openxmlformats.org/officeDocument/2006/relationships/hyperlink" Target="https://web.archive.org/web/20181012160046/http:/www.sacrt.com/aboutrt/RTPerfReports.aspx" TargetMode="External"/><Relationship Id="rId9" Type="http://schemas.openxmlformats.org/officeDocument/2006/relationships/hyperlink" Target="https://web.archive.org/web/20181001000000*/http:/www.sacrt.com/aboutrt/RTPerfReports.aspx" TargetMode="External"/><Relationship Id="rId14" Type="http://schemas.openxmlformats.org/officeDocument/2006/relationships/hyperlink" Target="https://data.vta.org/search?tags=Ridersh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60"/>
  <sheetViews>
    <sheetView tabSelected="1" workbookViewId="0">
      <pane xSplit="6" ySplit="2" topLeftCell="H3" activePane="bottomRight" state="frozen"/>
      <selection pane="topRight" activeCell="G1" sqref="G1"/>
      <selection pane="bottomLeft" activeCell="A3" sqref="A3"/>
      <selection pane="bottomRight" activeCell="N9" sqref="N9"/>
    </sheetView>
  </sheetViews>
  <sheetFormatPr baseColWidth="10" defaultRowHeight="16" x14ac:dyDescent="0.2"/>
  <cols>
    <col min="1" max="2" width="10.83203125" style="1"/>
    <col min="3" max="3" width="63.5" style="1" customWidth="1"/>
    <col min="4" max="4" width="16.83203125" style="1" bestFit="1" customWidth="1"/>
    <col min="5" max="5" width="20.33203125" style="1" bestFit="1" customWidth="1"/>
    <col min="6" max="6" width="18.1640625" style="1" bestFit="1" customWidth="1"/>
    <col min="7" max="7" width="14" style="1" customWidth="1"/>
    <col min="8" max="20" width="10.83203125" style="1"/>
    <col min="21" max="21" width="31.83203125" style="1" bestFit="1" customWidth="1"/>
    <col min="22" max="27" width="10.83203125" style="1"/>
    <col min="28" max="28" width="41.83203125" style="1" customWidth="1"/>
    <col min="29" max="32" width="10.83203125" style="1"/>
    <col min="33" max="33" width="14.83203125" style="1" bestFit="1" customWidth="1"/>
    <col min="34" max="35" width="10.83203125" style="1"/>
    <col min="36" max="36" width="40.1640625" style="1" bestFit="1" customWidth="1"/>
    <col min="37" max="16384" width="10.83203125" style="1"/>
  </cols>
  <sheetData>
    <row r="1" spans="1:39" s="4" customFormat="1" ht="21" thickBot="1" x14ac:dyDescent="0.25">
      <c r="M1" s="4" t="s">
        <v>0</v>
      </c>
      <c r="O1" s="4" t="s">
        <v>1</v>
      </c>
      <c r="U1" s="4" t="s">
        <v>2</v>
      </c>
      <c r="Z1" s="4" t="s">
        <v>3</v>
      </c>
      <c r="AA1" s="4" t="s">
        <v>4</v>
      </c>
      <c r="AB1" s="4" t="s">
        <v>5</v>
      </c>
      <c r="AC1" s="4" t="s">
        <v>6</v>
      </c>
      <c r="AD1" s="4" t="s">
        <v>7</v>
      </c>
    </row>
    <row r="2" spans="1:39" s="4" customFormat="1" ht="22" thickTop="1" thickBot="1" x14ac:dyDescent="0.25">
      <c r="A2" s="4" t="s">
        <v>8</v>
      </c>
      <c r="B2" s="4" t="s">
        <v>9</v>
      </c>
      <c r="C2" s="4" t="s">
        <v>238</v>
      </c>
      <c r="D2" s="4" t="s">
        <v>239</v>
      </c>
      <c r="E2" s="4" t="s">
        <v>10</v>
      </c>
      <c r="F2" s="4" t="s">
        <v>11</v>
      </c>
      <c r="G2" s="4" t="s">
        <v>214</v>
      </c>
      <c r="H2" s="4" t="s">
        <v>12</v>
      </c>
      <c r="I2" s="4" t="s">
        <v>13</v>
      </c>
      <c r="J2" s="4" t="s">
        <v>14</v>
      </c>
      <c r="K2" s="4" t="s">
        <v>15</v>
      </c>
      <c r="L2" s="4" t="s">
        <v>16</v>
      </c>
      <c r="N2" s="4" t="s">
        <v>17</v>
      </c>
      <c r="O2" s="4" t="s">
        <v>18</v>
      </c>
      <c r="P2" s="4" t="s">
        <v>19</v>
      </c>
      <c r="Q2" s="4" t="s">
        <v>20</v>
      </c>
      <c r="R2" s="4" t="s">
        <v>21</v>
      </c>
      <c r="S2" s="4" t="s">
        <v>22</v>
      </c>
      <c r="T2" s="4" t="s">
        <v>23</v>
      </c>
      <c r="U2" s="4" t="s">
        <v>24</v>
      </c>
      <c r="V2" s="4" t="s">
        <v>20</v>
      </c>
      <c r="W2" s="4" t="s">
        <v>25</v>
      </c>
      <c r="X2" s="4" t="s">
        <v>22</v>
      </c>
      <c r="Y2" s="4" t="s">
        <v>23</v>
      </c>
      <c r="AD2" s="4" t="s">
        <v>26</v>
      </c>
      <c r="AE2" s="4" t="s">
        <v>27</v>
      </c>
      <c r="AF2" s="4" t="s">
        <v>28</v>
      </c>
      <c r="AG2" s="4" t="s">
        <v>29</v>
      </c>
      <c r="AH2" s="4" t="s">
        <v>30</v>
      </c>
      <c r="AI2" s="4" t="s">
        <v>31</v>
      </c>
      <c r="AJ2" s="4" t="s">
        <v>32</v>
      </c>
      <c r="AK2" s="4" t="s">
        <v>248</v>
      </c>
    </row>
    <row r="3" spans="1:39" ht="17" thickTop="1" x14ac:dyDescent="0.2">
      <c r="A3" s="1" t="s">
        <v>33</v>
      </c>
      <c r="B3" s="1" t="s">
        <v>34</v>
      </c>
      <c r="C3" s="1" t="s">
        <v>35</v>
      </c>
      <c r="E3" s="1">
        <v>0.73</v>
      </c>
      <c r="F3" s="1" t="s">
        <v>36</v>
      </c>
      <c r="G3" s="1" t="s">
        <v>219</v>
      </c>
      <c r="H3" s="1" t="s">
        <v>37</v>
      </c>
      <c r="I3" s="1" t="s">
        <v>38</v>
      </c>
      <c r="J3" s="1" t="s">
        <v>39</v>
      </c>
      <c r="K3" s="1">
        <v>4.0999999999999996</v>
      </c>
      <c r="L3" s="1">
        <v>6</v>
      </c>
      <c r="M3" s="1" t="s">
        <v>40</v>
      </c>
      <c r="N3" s="1" t="s">
        <v>41</v>
      </c>
      <c r="P3" s="1">
        <v>7</v>
      </c>
      <c r="Q3" s="2">
        <v>28.15</v>
      </c>
      <c r="R3" s="2">
        <v>26.36</v>
      </c>
      <c r="S3" s="2">
        <v>31.1</v>
      </c>
      <c r="T3" s="2">
        <v>26.15</v>
      </c>
      <c r="V3" s="2">
        <v>10.98</v>
      </c>
      <c r="Z3" s="1" t="s">
        <v>42</v>
      </c>
      <c r="AB3" s="1" t="s">
        <v>43</v>
      </c>
      <c r="AC3" s="1" t="s">
        <v>44</v>
      </c>
      <c r="AD3" s="1">
        <v>1990</v>
      </c>
      <c r="AF3" s="1">
        <v>1993</v>
      </c>
      <c r="AG3" s="1">
        <v>1994</v>
      </c>
      <c r="AH3" s="1">
        <v>1997</v>
      </c>
      <c r="AJ3" s="1" t="s">
        <v>203</v>
      </c>
      <c r="AK3" s="5" t="s">
        <v>202</v>
      </c>
      <c r="AL3" s="1" t="s">
        <v>211</v>
      </c>
    </row>
    <row r="4" spans="1:39" x14ac:dyDescent="0.2">
      <c r="A4" s="1" t="s">
        <v>45</v>
      </c>
      <c r="B4" s="1" t="s">
        <v>34</v>
      </c>
      <c r="C4" s="1" t="s">
        <v>46</v>
      </c>
      <c r="F4" s="1" t="s">
        <v>36</v>
      </c>
      <c r="G4" s="1" t="s">
        <v>220</v>
      </c>
      <c r="H4" s="1" t="s">
        <v>37</v>
      </c>
      <c r="I4" s="1" t="s">
        <v>38</v>
      </c>
      <c r="K4" s="1">
        <v>3.2</v>
      </c>
      <c r="M4" s="1" t="s">
        <v>47</v>
      </c>
      <c r="AD4" s="1">
        <v>1988</v>
      </c>
      <c r="AF4" s="1">
        <v>1989</v>
      </c>
      <c r="AG4" s="1">
        <v>1994</v>
      </c>
      <c r="AH4" s="1">
        <v>1997</v>
      </c>
      <c r="AJ4" s="1" t="s">
        <v>213</v>
      </c>
      <c r="AK4" s="5" t="s">
        <v>212</v>
      </c>
    </row>
    <row r="5" spans="1:39" x14ac:dyDescent="0.2">
      <c r="A5" s="1" t="s">
        <v>48</v>
      </c>
      <c r="B5" s="1" t="s">
        <v>34</v>
      </c>
      <c r="C5" s="1" t="s">
        <v>204</v>
      </c>
      <c r="D5" s="1" t="s">
        <v>240</v>
      </c>
      <c r="E5" s="1">
        <v>0.44</v>
      </c>
      <c r="F5" s="1" t="s">
        <v>49</v>
      </c>
      <c r="G5" s="1" t="s">
        <v>218</v>
      </c>
      <c r="H5" s="1" t="s">
        <v>50</v>
      </c>
      <c r="I5" s="1" t="s">
        <v>38</v>
      </c>
      <c r="J5" s="1" t="s">
        <v>51</v>
      </c>
      <c r="K5" s="1">
        <v>9.6</v>
      </c>
      <c r="M5" s="1" t="s">
        <v>40</v>
      </c>
      <c r="N5" s="1" t="s">
        <v>52</v>
      </c>
      <c r="P5" s="1">
        <v>16</v>
      </c>
      <c r="Q5" s="2">
        <v>18.649999999999999</v>
      </c>
      <c r="R5" s="2">
        <v>11.64</v>
      </c>
      <c r="S5" s="2">
        <v>33.68</v>
      </c>
      <c r="T5" s="2">
        <v>10.98</v>
      </c>
      <c r="AD5" s="1">
        <v>1990</v>
      </c>
      <c r="AF5" s="1">
        <v>1991</v>
      </c>
      <c r="AG5" s="1">
        <v>1993</v>
      </c>
      <c r="AH5" s="1">
        <v>1996</v>
      </c>
      <c r="AJ5" s="29" t="s">
        <v>208</v>
      </c>
      <c r="AK5" s="35" t="s">
        <v>207</v>
      </c>
      <c r="AL5" s="1" t="s">
        <v>209</v>
      </c>
      <c r="AM5" s="1" t="s">
        <v>210</v>
      </c>
    </row>
    <row r="6" spans="1:39" x14ac:dyDescent="0.2">
      <c r="B6" s="1" t="s">
        <v>34</v>
      </c>
      <c r="C6" s="1" t="s">
        <v>206</v>
      </c>
      <c r="D6" s="1" t="s">
        <v>241</v>
      </c>
      <c r="F6" s="1" t="s">
        <v>49</v>
      </c>
      <c r="G6" s="1" t="s">
        <v>215</v>
      </c>
      <c r="H6" s="1" t="s">
        <v>50</v>
      </c>
      <c r="I6" s="1" t="s">
        <v>38</v>
      </c>
      <c r="J6" s="1" t="s">
        <v>39</v>
      </c>
      <c r="K6" s="1">
        <v>6</v>
      </c>
      <c r="Q6" s="2"/>
      <c r="R6" s="2"/>
      <c r="S6" s="2"/>
      <c r="T6" s="2"/>
      <c r="AJ6" s="29"/>
      <c r="AK6" s="31"/>
    </row>
    <row r="7" spans="1:39" x14ac:dyDescent="0.2">
      <c r="B7" s="1" t="s">
        <v>34</v>
      </c>
      <c r="C7" s="1" t="s">
        <v>205</v>
      </c>
      <c r="D7" s="1" t="s">
        <v>242</v>
      </c>
      <c r="F7" s="1" t="s">
        <v>49</v>
      </c>
      <c r="G7" s="1" t="s">
        <v>215</v>
      </c>
      <c r="H7" s="1" t="s">
        <v>50</v>
      </c>
      <c r="I7" s="1" t="s">
        <v>38</v>
      </c>
      <c r="J7" s="1" t="s">
        <v>39</v>
      </c>
      <c r="Q7" s="2"/>
      <c r="R7" s="2"/>
      <c r="S7" s="2"/>
      <c r="T7" s="2"/>
      <c r="AJ7" s="29"/>
      <c r="AK7" s="31"/>
    </row>
    <row r="8" spans="1:39" x14ac:dyDescent="0.2">
      <c r="A8" s="1" t="s">
        <v>53</v>
      </c>
      <c r="B8" s="1" t="s">
        <v>34</v>
      </c>
      <c r="C8" s="1" t="s">
        <v>54</v>
      </c>
      <c r="D8" s="1" t="s">
        <v>243</v>
      </c>
      <c r="E8" s="1">
        <v>0.43</v>
      </c>
      <c r="F8" s="1" t="s">
        <v>55</v>
      </c>
      <c r="G8" s="1" t="s">
        <v>216</v>
      </c>
      <c r="H8" s="1" t="s">
        <v>56</v>
      </c>
      <c r="I8" s="1" t="s">
        <v>38</v>
      </c>
      <c r="J8" s="1" t="s">
        <v>57</v>
      </c>
      <c r="K8" s="1">
        <v>12.1</v>
      </c>
      <c r="L8" s="1">
        <v>12</v>
      </c>
      <c r="M8" s="1" t="s">
        <v>58</v>
      </c>
      <c r="AD8" s="1">
        <v>2003</v>
      </c>
      <c r="AF8" s="1">
        <v>2003</v>
      </c>
      <c r="AG8" s="1">
        <v>2007</v>
      </c>
      <c r="AH8" s="1">
        <v>2013</v>
      </c>
      <c r="AJ8" s="29" t="s">
        <v>224</v>
      </c>
      <c r="AK8" s="35" t="s">
        <v>223</v>
      </c>
    </row>
    <row r="9" spans="1:39" x14ac:dyDescent="0.2">
      <c r="A9" s="1" t="s">
        <v>59</v>
      </c>
      <c r="B9" s="1" t="s">
        <v>34</v>
      </c>
      <c r="C9" s="1" t="s">
        <v>221</v>
      </c>
      <c r="D9" s="1" t="s">
        <v>244</v>
      </c>
      <c r="E9" s="1">
        <v>0.68</v>
      </c>
      <c r="F9" s="1" t="s">
        <v>55</v>
      </c>
      <c r="G9" s="1" t="s">
        <v>217</v>
      </c>
      <c r="H9" s="1" t="s">
        <v>56</v>
      </c>
      <c r="I9" s="1" t="s">
        <v>38</v>
      </c>
      <c r="J9" s="1" t="s">
        <v>39</v>
      </c>
      <c r="K9" s="1">
        <v>8.6999999999999993</v>
      </c>
      <c r="AG9" s="1">
        <v>1999</v>
      </c>
      <c r="AH9" s="1">
        <v>2000</v>
      </c>
      <c r="AJ9" s="29"/>
      <c r="AK9" s="31"/>
      <c r="AL9" t="s">
        <v>226</v>
      </c>
      <c r="AM9" s="1" t="s">
        <v>225</v>
      </c>
    </row>
    <row r="10" spans="1:39" x14ac:dyDescent="0.2">
      <c r="B10" s="1" t="s">
        <v>34</v>
      </c>
      <c r="C10" s="1" t="s">
        <v>222</v>
      </c>
      <c r="D10" s="1" t="s">
        <v>245</v>
      </c>
      <c r="F10" s="1" t="s">
        <v>55</v>
      </c>
      <c r="G10" s="1" t="s">
        <v>217</v>
      </c>
      <c r="H10" s="1" t="s">
        <v>56</v>
      </c>
      <c r="I10" s="1" t="s">
        <v>38</v>
      </c>
      <c r="J10" s="1" t="s">
        <v>39</v>
      </c>
      <c r="K10" s="1">
        <v>19.12</v>
      </c>
      <c r="L10" s="1">
        <v>13</v>
      </c>
      <c r="M10" s="1" t="s">
        <v>61</v>
      </c>
      <c r="AD10" s="1">
        <v>1999</v>
      </c>
      <c r="AF10" s="1">
        <v>1999</v>
      </c>
      <c r="AH10" s="1">
        <v>2006</v>
      </c>
      <c r="AJ10" s="29"/>
      <c r="AK10" s="31"/>
      <c r="AL10" s="1" t="s">
        <v>228</v>
      </c>
      <c r="AM10" s="1" t="s">
        <v>227</v>
      </c>
    </row>
    <row r="11" spans="1:39" x14ac:dyDescent="0.2">
      <c r="A11" s="1" t="s">
        <v>62</v>
      </c>
      <c r="B11" s="1" t="s">
        <v>34</v>
      </c>
      <c r="C11" s="1" t="s">
        <v>231</v>
      </c>
      <c r="D11" s="1" t="s">
        <v>241</v>
      </c>
      <c r="F11" s="1" t="s">
        <v>63</v>
      </c>
      <c r="G11" s="1" t="s">
        <v>229</v>
      </c>
      <c r="H11" s="1" t="s">
        <v>50</v>
      </c>
      <c r="I11" s="1" t="s">
        <v>38</v>
      </c>
      <c r="J11" s="1" t="s">
        <v>39</v>
      </c>
      <c r="K11" s="1">
        <v>5.26</v>
      </c>
      <c r="L11" s="1">
        <v>8</v>
      </c>
      <c r="M11" s="1" t="s">
        <v>61</v>
      </c>
      <c r="AD11" s="1">
        <v>2006</v>
      </c>
      <c r="AF11" s="1">
        <v>2010</v>
      </c>
      <c r="AH11" s="1">
        <v>2014</v>
      </c>
      <c r="AJ11" s="29" t="s">
        <v>233</v>
      </c>
      <c r="AK11" s="30" t="s">
        <v>232</v>
      </c>
      <c r="AL11" s="1" t="s">
        <v>235</v>
      </c>
    </row>
    <row r="12" spans="1:39" x14ac:dyDescent="0.2">
      <c r="A12" s="1" t="s">
        <v>64</v>
      </c>
      <c r="B12" s="1" t="s">
        <v>34</v>
      </c>
      <c r="C12" s="1" t="s">
        <v>234</v>
      </c>
      <c r="D12" s="1" t="s">
        <v>246</v>
      </c>
      <c r="E12" s="1">
        <v>0.75</v>
      </c>
      <c r="F12" s="1" t="s">
        <v>63</v>
      </c>
      <c r="G12" s="1" t="s">
        <v>230</v>
      </c>
      <c r="H12" s="1" t="s">
        <v>50</v>
      </c>
      <c r="I12" s="1" t="s">
        <v>38</v>
      </c>
      <c r="J12" s="1" t="s">
        <v>51</v>
      </c>
      <c r="K12" s="1">
        <v>6.8</v>
      </c>
      <c r="M12" s="1" t="s">
        <v>58</v>
      </c>
      <c r="AD12" s="1">
        <v>2006</v>
      </c>
      <c r="AF12" s="1">
        <v>2006</v>
      </c>
      <c r="AH12" s="1">
        <v>2015</v>
      </c>
      <c r="AJ12" s="29"/>
      <c r="AK12" s="31"/>
    </row>
    <row r="13" spans="1:39" x14ac:dyDescent="0.2">
      <c r="A13" s="1" t="s">
        <v>65</v>
      </c>
      <c r="B13" s="1" t="s">
        <v>34</v>
      </c>
      <c r="C13" s="1" t="s">
        <v>237</v>
      </c>
      <c r="D13" s="1" t="s">
        <v>240</v>
      </c>
      <c r="E13" s="1">
        <v>0.55000000000000004</v>
      </c>
      <c r="F13" s="1" t="s">
        <v>66</v>
      </c>
      <c r="G13" s="1" t="s">
        <v>236</v>
      </c>
      <c r="H13" s="1" t="s">
        <v>67</v>
      </c>
      <c r="I13" s="1" t="s">
        <v>38</v>
      </c>
      <c r="J13" s="1" t="s">
        <v>51</v>
      </c>
      <c r="K13" s="1">
        <v>11.6</v>
      </c>
      <c r="M13" s="1" t="s">
        <v>68</v>
      </c>
      <c r="O13" s="1" t="s">
        <v>69</v>
      </c>
      <c r="P13" s="1">
        <v>5</v>
      </c>
      <c r="Q13" s="2">
        <v>0.32</v>
      </c>
      <c r="R13" s="2">
        <v>0.21</v>
      </c>
      <c r="S13" s="2">
        <v>0.37</v>
      </c>
      <c r="T13" s="2">
        <v>0.21</v>
      </c>
      <c r="AD13" s="1">
        <v>1983</v>
      </c>
      <c r="AF13" s="1">
        <v>1985</v>
      </c>
      <c r="AH13" s="1">
        <v>2004</v>
      </c>
      <c r="AJ13" s="29" t="s">
        <v>249</v>
      </c>
      <c r="AK13" s="30" t="s">
        <v>247</v>
      </c>
    </row>
    <row r="14" spans="1:39" x14ac:dyDescent="0.2">
      <c r="A14" s="1" t="s">
        <v>70</v>
      </c>
      <c r="B14" s="1" t="s">
        <v>34</v>
      </c>
      <c r="C14" s="1" t="s">
        <v>71</v>
      </c>
      <c r="D14" s="1" t="s">
        <v>242</v>
      </c>
      <c r="E14" s="1">
        <v>0.84</v>
      </c>
      <c r="F14" s="1" t="s">
        <v>72</v>
      </c>
      <c r="G14" s="1" t="s">
        <v>236</v>
      </c>
      <c r="H14" s="1" t="s">
        <v>67</v>
      </c>
      <c r="I14" s="1" t="s">
        <v>38</v>
      </c>
      <c r="J14" s="1" t="s">
        <v>51</v>
      </c>
      <c r="K14" s="1">
        <v>11</v>
      </c>
      <c r="M14" s="1" t="s">
        <v>47</v>
      </c>
      <c r="O14" s="1" t="s">
        <v>73</v>
      </c>
      <c r="P14" s="1">
        <v>3</v>
      </c>
      <c r="AD14" s="1">
        <v>2006</v>
      </c>
      <c r="AF14" s="1">
        <v>2009</v>
      </c>
      <c r="AH14" s="1">
        <v>2014</v>
      </c>
      <c r="AJ14" s="29"/>
      <c r="AK14" s="31"/>
    </row>
    <row r="15" spans="1:39" x14ac:dyDescent="0.2">
      <c r="A15" s="1" t="s">
        <v>74</v>
      </c>
      <c r="B15" s="1" t="s">
        <v>34</v>
      </c>
      <c r="C15" s="1" t="s">
        <v>75</v>
      </c>
      <c r="D15" s="1" t="s">
        <v>295</v>
      </c>
      <c r="E15" s="1">
        <v>0.72</v>
      </c>
      <c r="F15" s="1" t="s">
        <v>76</v>
      </c>
      <c r="G15" s="1" t="s">
        <v>294</v>
      </c>
      <c r="H15" s="1" t="s">
        <v>77</v>
      </c>
      <c r="I15" s="1" t="s">
        <v>38</v>
      </c>
      <c r="J15" s="1" t="s">
        <v>51</v>
      </c>
      <c r="K15" s="1">
        <v>15.42</v>
      </c>
      <c r="M15" s="1" t="s">
        <v>40</v>
      </c>
      <c r="N15" s="1" t="s">
        <v>78</v>
      </c>
      <c r="O15" s="1" t="s">
        <v>79</v>
      </c>
      <c r="P15" s="1">
        <v>9</v>
      </c>
      <c r="Q15" s="2">
        <v>6.63</v>
      </c>
      <c r="R15" s="2">
        <v>4</v>
      </c>
      <c r="S15" s="2">
        <v>26.72</v>
      </c>
      <c r="T15" s="2">
        <v>2.96</v>
      </c>
      <c r="Z15" s="1" t="s">
        <v>47</v>
      </c>
      <c r="AD15" s="1">
        <v>1992</v>
      </c>
      <c r="AF15" s="1">
        <v>1996</v>
      </c>
      <c r="AH15" s="1">
        <v>2006</v>
      </c>
    </row>
    <row r="16" spans="1:39" x14ac:dyDescent="0.2">
      <c r="A16" s="1" t="s">
        <v>80</v>
      </c>
      <c r="B16" s="1" t="s">
        <v>34</v>
      </c>
      <c r="C16" s="1" t="s">
        <v>81</v>
      </c>
      <c r="D16" s="1" t="s">
        <v>295</v>
      </c>
      <c r="E16" s="1">
        <v>0.81</v>
      </c>
      <c r="F16" s="1" t="s">
        <v>82</v>
      </c>
      <c r="G16" s="1" t="s">
        <v>294</v>
      </c>
      <c r="H16" s="1" t="s">
        <v>77</v>
      </c>
      <c r="I16" s="1" t="s">
        <v>38</v>
      </c>
      <c r="J16" s="1" t="s">
        <v>51</v>
      </c>
      <c r="K16" s="1" t="s">
        <v>83</v>
      </c>
      <c r="L16" s="1">
        <v>16</v>
      </c>
      <c r="M16" s="1" t="s">
        <v>47</v>
      </c>
      <c r="AD16" s="1">
        <v>1997</v>
      </c>
      <c r="AF16" s="1">
        <v>1998</v>
      </c>
      <c r="AH16" s="1">
        <v>2006</v>
      </c>
    </row>
    <row r="17" spans="1:40" x14ac:dyDescent="0.2">
      <c r="A17" s="1" t="s">
        <v>90</v>
      </c>
      <c r="B17" s="1" t="s">
        <v>34</v>
      </c>
      <c r="C17" s="1" t="s">
        <v>91</v>
      </c>
      <c r="D17" s="1" t="s">
        <v>295</v>
      </c>
      <c r="E17" s="1">
        <v>0.45</v>
      </c>
      <c r="F17" s="1" t="s">
        <v>86</v>
      </c>
      <c r="G17" s="1" t="s">
        <v>296</v>
      </c>
      <c r="H17" s="1" t="s">
        <v>87</v>
      </c>
      <c r="I17" s="1" t="s">
        <v>38</v>
      </c>
      <c r="J17" s="1" t="s">
        <v>51</v>
      </c>
      <c r="K17" s="1">
        <v>7.34</v>
      </c>
      <c r="L17" s="1">
        <v>11</v>
      </c>
      <c r="M17" s="1" t="s">
        <v>40</v>
      </c>
      <c r="N17" s="1" t="s">
        <v>92</v>
      </c>
      <c r="O17" s="1" t="s">
        <v>89</v>
      </c>
      <c r="P17" s="1">
        <v>2</v>
      </c>
      <c r="Q17" s="2">
        <v>21.66</v>
      </c>
      <c r="AF17" s="1">
        <v>2005</v>
      </c>
      <c r="AH17" s="1">
        <v>2011</v>
      </c>
    </row>
    <row r="18" spans="1:40" x14ac:dyDescent="0.2">
      <c r="A18" s="1" t="s">
        <v>93</v>
      </c>
      <c r="B18" s="1" t="s">
        <v>34</v>
      </c>
      <c r="C18" s="1" t="s">
        <v>94</v>
      </c>
      <c r="D18" s="1" t="s">
        <v>295</v>
      </c>
      <c r="E18" s="1">
        <v>0.46</v>
      </c>
      <c r="F18" s="1" t="s">
        <v>95</v>
      </c>
      <c r="G18" s="1" t="s">
        <v>297</v>
      </c>
      <c r="H18" s="1" t="s">
        <v>96</v>
      </c>
      <c r="I18" s="1" t="s">
        <v>38</v>
      </c>
      <c r="J18" s="1" t="s">
        <v>57</v>
      </c>
      <c r="K18" s="1">
        <v>20.3</v>
      </c>
      <c r="L18" s="1">
        <v>27</v>
      </c>
      <c r="M18" s="1" t="s">
        <v>97</v>
      </c>
      <c r="P18" s="1" t="s">
        <v>98</v>
      </c>
      <c r="Q18" s="2">
        <v>9.86</v>
      </c>
      <c r="AD18" s="1">
        <v>2001</v>
      </c>
      <c r="AF18" s="1">
        <v>2002</v>
      </c>
      <c r="AH18" s="1">
        <v>2008</v>
      </c>
    </row>
    <row r="19" spans="1:40" x14ac:dyDescent="0.2">
      <c r="A19" s="1" t="s">
        <v>99</v>
      </c>
      <c r="B19" s="1" t="s">
        <v>34</v>
      </c>
      <c r="C19" s="1" t="s">
        <v>100</v>
      </c>
      <c r="D19" s="1" t="s">
        <v>300</v>
      </c>
      <c r="E19" s="1">
        <v>0.54</v>
      </c>
      <c r="F19" s="1" t="s">
        <v>101</v>
      </c>
      <c r="G19" s="1" t="s">
        <v>298</v>
      </c>
      <c r="H19" s="1" t="s">
        <v>102</v>
      </c>
      <c r="I19" s="1" t="s">
        <v>38</v>
      </c>
      <c r="J19" s="1" t="s">
        <v>39</v>
      </c>
      <c r="K19" s="1">
        <v>25</v>
      </c>
      <c r="M19" s="1" t="s">
        <v>40</v>
      </c>
      <c r="N19" s="1" t="s">
        <v>103</v>
      </c>
      <c r="O19" s="1" t="s">
        <v>89</v>
      </c>
      <c r="P19" s="1">
        <v>5</v>
      </c>
      <c r="Q19" s="2">
        <v>14.7</v>
      </c>
      <c r="R19" s="2">
        <v>18.510000000000002</v>
      </c>
      <c r="S19" s="2">
        <v>35.99</v>
      </c>
      <c r="T19" s="2">
        <v>14.7</v>
      </c>
      <c r="Z19" s="1" t="s">
        <v>47</v>
      </c>
      <c r="AD19" s="1">
        <v>2000</v>
      </c>
      <c r="AF19" s="1">
        <v>2002</v>
      </c>
      <c r="AH19" s="1">
        <v>2013</v>
      </c>
    </row>
    <row r="20" spans="1:40" x14ac:dyDescent="0.2">
      <c r="A20" s="1" t="s">
        <v>104</v>
      </c>
      <c r="B20" s="1" t="s">
        <v>34</v>
      </c>
      <c r="C20" s="1" t="s">
        <v>105</v>
      </c>
      <c r="D20" s="1" t="s">
        <v>251</v>
      </c>
      <c r="E20" s="1">
        <v>0.76</v>
      </c>
      <c r="F20" s="1" t="s">
        <v>106</v>
      </c>
      <c r="G20" s="1" t="s">
        <v>250</v>
      </c>
      <c r="H20" s="1" t="s">
        <v>107</v>
      </c>
      <c r="I20" s="1" t="s">
        <v>38</v>
      </c>
      <c r="J20" s="1" t="s">
        <v>51</v>
      </c>
      <c r="K20" s="1">
        <v>8.3000000000000007</v>
      </c>
      <c r="L20" s="1">
        <v>15</v>
      </c>
      <c r="M20" s="1" t="s">
        <v>40</v>
      </c>
      <c r="N20" s="1" t="s">
        <v>108</v>
      </c>
      <c r="O20" s="1" t="s">
        <v>109</v>
      </c>
      <c r="P20" s="1">
        <v>6</v>
      </c>
      <c r="Q20" s="2">
        <v>9.5</v>
      </c>
      <c r="R20" s="2">
        <v>10.210000000000001</v>
      </c>
      <c r="S20" s="2">
        <v>20.48</v>
      </c>
      <c r="T20" s="2">
        <v>9.5</v>
      </c>
      <c r="AF20" s="1">
        <v>2004</v>
      </c>
      <c r="AH20" s="1">
        <v>2009</v>
      </c>
      <c r="AJ20" s="29" t="s">
        <v>256</v>
      </c>
      <c r="AK20" s="30" t="s">
        <v>255</v>
      </c>
    </row>
    <row r="21" spans="1:40" x14ac:dyDescent="0.2">
      <c r="A21" s="1" t="s">
        <v>110</v>
      </c>
      <c r="B21" s="1" t="s">
        <v>34</v>
      </c>
      <c r="C21" s="1" t="s">
        <v>111</v>
      </c>
      <c r="D21" s="1" t="s">
        <v>252</v>
      </c>
      <c r="E21" s="1">
        <v>0.43</v>
      </c>
      <c r="F21" s="1" t="s">
        <v>106</v>
      </c>
      <c r="G21" s="1" t="s">
        <v>250</v>
      </c>
      <c r="H21" s="1" t="s">
        <v>107</v>
      </c>
      <c r="I21" s="1" t="s">
        <v>38</v>
      </c>
      <c r="K21" s="1">
        <v>7.3</v>
      </c>
      <c r="L21" s="1">
        <v>11</v>
      </c>
      <c r="M21" s="1" t="s">
        <v>112</v>
      </c>
      <c r="N21" s="1" t="s">
        <v>113</v>
      </c>
      <c r="O21" s="1" t="s">
        <v>89</v>
      </c>
      <c r="P21" s="1">
        <v>9</v>
      </c>
      <c r="Q21" s="2">
        <v>1.53</v>
      </c>
      <c r="R21" s="2">
        <v>1.48</v>
      </c>
      <c r="S21" s="2">
        <v>1.59</v>
      </c>
      <c r="T21" s="2">
        <v>1.47</v>
      </c>
      <c r="AD21" s="1">
        <v>2008</v>
      </c>
      <c r="AF21" s="1">
        <v>2010</v>
      </c>
      <c r="AH21" s="1">
        <v>2015</v>
      </c>
      <c r="AJ21" s="29"/>
      <c r="AK21" s="31"/>
    </row>
    <row r="22" spans="1:40" x14ac:dyDescent="0.2">
      <c r="A22" s="1" t="s">
        <v>114</v>
      </c>
      <c r="B22" s="1" t="s">
        <v>34</v>
      </c>
      <c r="C22" s="1" t="s">
        <v>115</v>
      </c>
      <c r="D22" s="1" t="s">
        <v>253</v>
      </c>
      <c r="E22" s="1">
        <v>0.73</v>
      </c>
      <c r="F22" s="1" t="s">
        <v>106</v>
      </c>
      <c r="G22" s="1" t="s">
        <v>250</v>
      </c>
      <c r="H22" s="1" t="s">
        <v>107</v>
      </c>
      <c r="I22" s="1" t="s">
        <v>38</v>
      </c>
      <c r="J22" s="1" t="s">
        <v>39</v>
      </c>
      <c r="K22" s="1">
        <v>17.100000000000001</v>
      </c>
      <c r="M22" s="1" t="s">
        <v>40</v>
      </c>
      <c r="N22" s="1" t="s">
        <v>116</v>
      </c>
      <c r="O22" s="1" t="s">
        <v>117</v>
      </c>
      <c r="P22" s="1">
        <v>5</v>
      </c>
      <c r="Q22" s="2">
        <v>24.37</v>
      </c>
      <c r="R22" s="2">
        <v>24.37</v>
      </c>
      <c r="S22" s="2">
        <v>25.15</v>
      </c>
      <c r="T22" s="2">
        <v>23.6</v>
      </c>
      <c r="Z22" s="1" t="s">
        <v>47</v>
      </c>
      <c r="AD22" s="1">
        <v>1993</v>
      </c>
      <c r="AF22" s="1">
        <v>1994</v>
      </c>
      <c r="AH22" s="1">
        <v>1998</v>
      </c>
      <c r="AJ22" s="29"/>
      <c r="AK22" s="31"/>
    </row>
    <row r="23" spans="1:40" x14ac:dyDescent="0.2">
      <c r="B23" s="1" t="s">
        <v>34</v>
      </c>
      <c r="C23" s="1" t="s">
        <v>257</v>
      </c>
      <c r="D23" s="1" t="s">
        <v>254</v>
      </c>
      <c r="F23" s="1" t="s">
        <v>106</v>
      </c>
      <c r="G23" s="1" t="s">
        <v>250</v>
      </c>
      <c r="H23" s="1" t="s">
        <v>107</v>
      </c>
      <c r="I23" s="1" t="s">
        <v>38</v>
      </c>
      <c r="J23" s="1" t="s">
        <v>51</v>
      </c>
      <c r="K23" s="1">
        <v>5.63</v>
      </c>
      <c r="M23" s="1" t="s">
        <v>47</v>
      </c>
      <c r="AH23" s="1">
        <v>2004</v>
      </c>
      <c r="AJ23" s="29"/>
      <c r="AK23" s="31"/>
    </row>
    <row r="24" spans="1:40" x14ac:dyDescent="0.2">
      <c r="A24" s="1" t="s">
        <v>118</v>
      </c>
      <c r="B24" s="1" t="s">
        <v>34</v>
      </c>
      <c r="C24" s="1" t="s">
        <v>119</v>
      </c>
      <c r="D24" s="1" t="s">
        <v>240</v>
      </c>
      <c r="E24" s="1">
        <v>0.56999999999999995</v>
      </c>
      <c r="F24" s="1" t="s">
        <v>120</v>
      </c>
      <c r="G24" s="1" t="s">
        <v>260</v>
      </c>
      <c r="H24" s="1" t="s">
        <v>121</v>
      </c>
      <c r="I24" s="1" t="s">
        <v>38</v>
      </c>
      <c r="J24" s="1" t="s">
        <v>39</v>
      </c>
      <c r="K24" s="1">
        <v>6.92</v>
      </c>
      <c r="M24" s="1" t="s">
        <v>61</v>
      </c>
      <c r="AD24" s="1">
        <v>2007</v>
      </c>
      <c r="AF24" s="1">
        <v>2008</v>
      </c>
      <c r="AH24" s="1">
        <v>2015</v>
      </c>
      <c r="AJ24" s="29" t="s">
        <v>264</v>
      </c>
      <c r="AK24" s="30" t="s">
        <v>263</v>
      </c>
      <c r="AL24" s="8" t="s">
        <v>265</v>
      </c>
    </row>
    <row r="25" spans="1:40" x14ac:dyDescent="0.2">
      <c r="A25" s="1" t="s">
        <v>122</v>
      </c>
      <c r="B25" s="1" t="s">
        <v>34</v>
      </c>
      <c r="C25" s="1" t="s">
        <v>259</v>
      </c>
      <c r="D25" s="1" t="s">
        <v>240</v>
      </c>
      <c r="E25" s="1">
        <v>0.52</v>
      </c>
      <c r="F25" s="1" t="s">
        <v>120</v>
      </c>
      <c r="G25" s="1" t="s">
        <v>261</v>
      </c>
      <c r="H25" s="1" t="s">
        <v>121</v>
      </c>
      <c r="I25" s="1" t="s">
        <v>38</v>
      </c>
      <c r="J25" s="1" t="s">
        <v>39</v>
      </c>
      <c r="K25" s="1" t="s">
        <v>123</v>
      </c>
      <c r="M25" s="1" t="s">
        <v>40</v>
      </c>
      <c r="N25" s="1" t="s">
        <v>124</v>
      </c>
      <c r="O25" s="1" t="s">
        <v>89</v>
      </c>
      <c r="P25" s="1">
        <v>6</v>
      </c>
      <c r="Q25" s="2">
        <v>1.57</v>
      </c>
      <c r="R25" s="2">
        <v>4.08</v>
      </c>
      <c r="S25" s="2">
        <v>15.55</v>
      </c>
      <c r="T25" s="2">
        <v>1.57</v>
      </c>
      <c r="AD25" s="1">
        <v>1994</v>
      </c>
      <c r="AF25" s="1">
        <v>1997</v>
      </c>
      <c r="AH25" s="1">
        <v>2003</v>
      </c>
      <c r="AJ25" s="29"/>
      <c r="AK25" s="31"/>
      <c r="AL25" s="1" t="s">
        <v>266</v>
      </c>
    </row>
    <row r="26" spans="1:40" x14ac:dyDescent="0.2">
      <c r="B26" s="1" t="s">
        <v>34</v>
      </c>
      <c r="C26" s="1" t="s">
        <v>262</v>
      </c>
      <c r="D26" s="1" t="s">
        <v>258</v>
      </c>
      <c r="F26" s="1" t="s">
        <v>120</v>
      </c>
      <c r="G26" s="1" t="s">
        <v>261</v>
      </c>
      <c r="H26" s="1" t="s">
        <v>121</v>
      </c>
      <c r="I26" s="1" t="s">
        <v>38</v>
      </c>
      <c r="J26" s="1" t="s">
        <v>39</v>
      </c>
      <c r="K26" s="1">
        <v>20.8</v>
      </c>
      <c r="M26" s="1" t="s">
        <v>47</v>
      </c>
      <c r="AF26" s="1">
        <v>2000</v>
      </c>
      <c r="AH26" s="1">
        <v>2005</v>
      </c>
      <c r="AJ26" s="29"/>
      <c r="AK26" s="31"/>
    </row>
    <row r="27" spans="1:40" x14ac:dyDescent="0.2">
      <c r="B27" s="1" t="s">
        <v>34</v>
      </c>
      <c r="C27" s="1" t="s">
        <v>269</v>
      </c>
      <c r="D27" s="1" t="s">
        <v>240</v>
      </c>
      <c r="F27" s="1" t="s">
        <v>127</v>
      </c>
      <c r="G27" s="1" t="s">
        <v>267</v>
      </c>
      <c r="H27" s="1" t="s">
        <v>128</v>
      </c>
      <c r="I27" s="1" t="s">
        <v>38</v>
      </c>
      <c r="J27" s="1" t="s">
        <v>57</v>
      </c>
      <c r="K27" s="1">
        <v>15</v>
      </c>
      <c r="AD27" s="1">
        <v>1994</v>
      </c>
      <c r="AF27" s="1">
        <v>1994</v>
      </c>
      <c r="AG27" s="1">
        <v>1997</v>
      </c>
      <c r="AH27" s="1">
        <v>1999</v>
      </c>
      <c r="AJ27" s="29" t="s">
        <v>274</v>
      </c>
      <c r="AK27" s="36" t="s">
        <v>273</v>
      </c>
      <c r="AM27" s="8" t="s">
        <v>270</v>
      </c>
      <c r="AN27" s="8" t="s">
        <v>272</v>
      </c>
    </row>
    <row r="28" spans="1:40" x14ac:dyDescent="0.2">
      <c r="A28" s="1" t="s">
        <v>125</v>
      </c>
      <c r="B28" s="1" t="s">
        <v>34</v>
      </c>
      <c r="C28" s="1" t="s">
        <v>126</v>
      </c>
      <c r="D28" s="1" t="s">
        <v>241</v>
      </c>
      <c r="E28" s="1">
        <v>0.8</v>
      </c>
      <c r="F28" s="1" t="s">
        <v>127</v>
      </c>
      <c r="G28" s="1" t="s">
        <v>268</v>
      </c>
      <c r="H28" s="1" t="s">
        <v>128</v>
      </c>
      <c r="I28" s="1" t="s">
        <v>38</v>
      </c>
      <c r="J28" s="1" t="s">
        <v>57</v>
      </c>
      <c r="K28" s="1">
        <v>10.6</v>
      </c>
      <c r="M28" s="1" t="s">
        <v>40</v>
      </c>
      <c r="N28" s="1" t="s">
        <v>129</v>
      </c>
      <c r="O28" s="1" t="s">
        <v>130</v>
      </c>
      <c r="P28" s="1" t="s">
        <v>131</v>
      </c>
      <c r="Q28" s="2">
        <v>17.760000000000002</v>
      </c>
      <c r="V28" s="2">
        <v>22.7</v>
      </c>
      <c r="AD28" s="1">
        <v>2005</v>
      </c>
      <c r="AF28" s="1">
        <v>2007</v>
      </c>
      <c r="AH28" s="1">
        <v>2012</v>
      </c>
      <c r="AJ28" s="29"/>
      <c r="AK28" s="36"/>
      <c r="AM28" s="1" t="s">
        <v>271</v>
      </c>
    </row>
    <row r="29" spans="1:40" x14ac:dyDescent="0.2">
      <c r="A29" s="1" t="s">
        <v>132</v>
      </c>
      <c r="B29" s="1" t="s">
        <v>34</v>
      </c>
      <c r="C29" s="1" t="s">
        <v>133</v>
      </c>
      <c r="D29" s="1" t="s">
        <v>240</v>
      </c>
      <c r="E29" s="1">
        <v>0.54</v>
      </c>
      <c r="F29" s="1" t="s">
        <v>127</v>
      </c>
      <c r="G29" s="1" t="s">
        <v>268</v>
      </c>
      <c r="H29" s="1" t="s">
        <v>128</v>
      </c>
      <c r="I29" s="1" t="s">
        <v>38</v>
      </c>
      <c r="J29" s="1" t="s">
        <v>57</v>
      </c>
      <c r="K29" s="1">
        <v>8.6</v>
      </c>
      <c r="M29" s="1" t="s">
        <v>40</v>
      </c>
      <c r="N29" s="1" t="s">
        <v>134</v>
      </c>
      <c r="P29" s="1">
        <v>5</v>
      </c>
      <c r="Q29" s="2">
        <v>24.84</v>
      </c>
      <c r="R29" s="2">
        <v>32.46</v>
      </c>
      <c r="S29" s="2">
        <v>38.04</v>
      </c>
      <c r="T29" s="2">
        <v>19.260000000000002</v>
      </c>
      <c r="Z29" s="1" t="s">
        <v>47</v>
      </c>
      <c r="AB29" s="1" t="s">
        <v>135</v>
      </c>
      <c r="AD29" s="1">
        <v>2009</v>
      </c>
      <c r="AF29" s="1">
        <v>2010</v>
      </c>
      <c r="AH29" s="1">
        <v>2013</v>
      </c>
      <c r="AI29" s="1" t="s">
        <v>136</v>
      </c>
      <c r="AJ29" s="29"/>
      <c r="AK29" s="1" t="s">
        <v>275</v>
      </c>
    </row>
    <row r="30" spans="1:40" x14ac:dyDescent="0.2">
      <c r="A30" s="1" t="s">
        <v>137</v>
      </c>
      <c r="B30" s="1" t="s">
        <v>34</v>
      </c>
      <c r="C30" s="1" t="s">
        <v>138</v>
      </c>
      <c r="D30" s="1" t="s">
        <v>241</v>
      </c>
      <c r="E30" s="1">
        <v>0.63</v>
      </c>
      <c r="F30" s="1" t="s">
        <v>127</v>
      </c>
      <c r="G30" s="1" t="s">
        <v>268</v>
      </c>
      <c r="H30" s="1" t="s">
        <v>128</v>
      </c>
      <c r="I30" s="1" t="s">
        <v>38</v>
      </c>
      <c r="J30" s="1" t="s">
        <v>39</v>
      </c>
      <c r="K30" s="1">
        <v>1.53</v>
      </c>
      <c r="M30" s="1" t="s">
        <v>139</v>
      </c>
      <c r="N30" s="1" t="s">
        <v>140</v>
      </c>
      <c r="O30" s="1" t="s">
        <v>141</v>
      </c>
      <c r="P30" s="1">
        <v>3</v>
      </c>
      <c r="Q30" s="2">
        <v>6.16</v>
      </c>
      <c r="S30" s="2">
        <v>6.16</v>
      </c>
      <c r="T30" s="2">
        <v>1.02</v>
      </c>
      <c r="Z30" s="1" t="s">
        <v>47</v>
      </c>
      <c r="AD30" s="1">
        <v>1997</v>
      </c>
      <c r="AF30" s="1">
        <v>1999</v>
      </c>
      <c r="AH30" s="1">
        <v>2003</v>
      </c>
      <c r="AJ30" s="29"/>
      <c r="AK30" s="1" t="s">
        <v>276</v>
      </c>
    </row>
    <row r="31" spans="1:40" x14ac:dyDescent="0.2">
      <c r="A31" s="1" t="s">
        <v>142</v>
      </c>
      <c r="B31" s="1" t="s">
        <v>34</v>
      </c>
      <c r="C31" s="1" t="s">
        <v>143</v>
      </c>
      <c r="D31" s="1" t="s">
        <v>277</v>
      </c>
      <c r="E31" s="1">
        <v>0.61</v>
      </c>
      <c r="F31" s="1" t="s">
        <v>144</v>
      </c>
      <c r="G31" s="1" t="s">
        <v>278</v>
      </c>
      <c r="H31" s="1" t="s">
        <v>121</v>
      </c>
      <c r="I31" s="1" t="s">
        <v>38</v>
      </c>
      <c r="J31" s="1" t="s">
        <v>39</v>
      </c>
      <c r="K31" s="1">
        <v>11.1</v>
      </c>
      <c r="M31" s="1" t="s">
        <v>40</v>
      </c>
      <c r="N31" s="1" t="s">
        <v>145</v>
      </c>
      <c r="O31" s="1" t="s">
        <v>89</v>
      </c>
      <c r="P31" s="1">
        <v>7</v>
      </c>
      <c r="Q31" s="2">
        <v>2.87</v>
      </c>
      <c r="R31" s="2">
        <v>3.71</v>
      </c>
      <c r="S31" s="2">
        <v>18.18</v>
      </c>
      <c r="T31" s="2">
        <v>2.87</v>
      </c>
      <c r="Z31" s="1" t="s">
        <v>47</v>
      </c>
      <c r="AB31" s="1" t="s">
        <v>146</v>
      </c>
      <c r="AD31" s="1">
        <v>1985</v>
      </c>
      <c r="AF31" s="1">
        <v>1986</v>
      </c>
      <c r="AH31" s="1">
        <v>1989</v>
      </c>
    </row>
    <row r="32" spans="1:40" x14ac:dyDescent="0.2">
      <c r="B32" s="1" t="s">
        <v>34</v>
      </c>
      <c r="C32" s="1" t="s">
        <v>181</v>
      </c>
      <c r="D32" s="1" t="s">
        <v>242</v>
      </c>
      <c r="F32" s="1" t="s">
        <v>144</v>
      </c>
      <c r="G32" s="1" t="s">
        <v>279</v>
      </c>
      <c r="H32" s="1" t="s">
        <v>121</v>
      </c>
      <c r="I32" s="1" t="s">
        <v>38</v>
      </c>
      <c r="J32" s="1" t="s">
        <v>39</v>
      </c>
      <c r="K32" s="1">
        <v>5.9</v>
      </c>
      <c r="M32" s="1" t="s">
        <v>40</v>
      </c>
      <c r="N32" s="1" t="s">
        <v>182</v>
      </c>
      <c r="O32" s="1" t="s">
        <v>117</v>
      </c>
      <c r="P32" s="1">
        <v>2</v>
      </c>
      <c r="Q32" s="2">
        <v>14.21</v>
      </c>
      <c r="AD32" s="1">
        <v>1997</v>
      </c>
      <c r="AF32" s="1">
        <v>1998</v>
      </c>
      <c r="AI32" s="1" t="s">
        <v>183</v>
      </c>
    </row>
    <row r="33" spans="1:39" x14ac:dyDescent="0.2">
      <c r="B33" s="1" t="s">
        <v>34</v>
      </c>
      <c r="C33" s="1" t="s">
        <v>280</v>
      </c>
      <c r="D33" s="1" t="s">
        <v>240</v>
      </c>
      <c r="F33" s="1" t="s">
        <v>144</v>
      </c>
      <c r="G33" s="1" t="s">
        <v>279</v>
      </c>
      <c r="H33" s="1" t="s">
        <v>121</v>
      </c>
      <c r="I33" s="1" t="s">
        <v>38</v>
      </c>
      <c r="J33" s="1" t="s">
        <v>39</v>
      </c>
      <c r="K33" s="1">
        <v>10.9</v>
      </c>
      <c r="L33" s="1">
        <v>9</v>
      </c>
      <c r="Q33" s="2"/>
      <c r="AF33" s="1">
        <v>2001</v>
      </c>
      <c r="AH33" s="1">
        <v>2021</v>
      </c>
    </row>
    <row r="34" spans="1:39" x14ac:dyDescent="0.2">
      <c r="A34" s="1" t="s">
        <v>147</v>
      </c>
      <c r="B34" s="1" t="s">
        <v>34</v>
      </c>
      <c r="C34" s="1" t="s">
        <v>148</v>
      </c>
      <c r="D34" s="1" t="s">
        <v>281</v>
      </c>
      <c r="E34" s="1">
        <v>0.48</v>
      </c>
      <c r="F34" s="1" t="s">
        <v>149</v>
      </c>
      <c r="G34" s="1" t="s">
        <v>282</v>
      </c>
      <c r="H34" s="1" t="s">
        <v>121</v>
      </c>
      <c r="I34" s="1" t="s">
        <v>38</v>
      </c>
      <c r="J34" s="1" t="s">
        <v>39</v>
      </c>
      <c r="K34" s="1">
        <v>8.6999999999999993</v>
      </c>
      <c r="L34" s="1">
        <v>4</v>
      </c>
      <c r="M34" s="1" t="s">
        <v>40</v>
      </c>
      <c r="N34" s="1" t="s">
        <v>150</v>
      </c>
      <c r="P34" s="1">
        <v>6</v>
      </c>
      <c r="Q34" s="2">
        <v>25.78</v>
      </c>
      <c r="R34" s="2">
        <v>24.16</v>
      </c>
      <c r="S34" s="2">
        <v>48.39</v>
      </c>
      <c r="T34" s="2">
        <v>21.51</v>
      </c>
      <c r="U34" s="1" t="s">
        <v>151</v>
      </c>
      <c r="V34" s="2">
        <v>26.12</v>
      </c>
      <c r="Z34" s="1" t="s">
        <v>152</v>
      </c>
      <c r="AA34" s="1" t="s">
        <v>153</v>
      </c>
      <c r="AB34" s="1" t="s">
        <v>154</v>
      </c>
      <c r="AC34" s="1" t="s">
        <v>155</v>
      </c>
      <c r="AD34" s="1">
        <v>1992</v>
      </c>
      <c r="AE34" s="1">
        <v>1993</v>
      </c>
      <c r="AF34" s="1">
        <v>1996</v>
      </c>
      <c r="AG34" s="1">
        <v>1997</v>
      </c>
      <c r="AH34" s="1">
        <v>2003</v>
      </c>
      <c r="AK34" s="1" t="s">
        <v>156</v>
      </c>
    </row>
    <row r="35" spans="1:39" x14ac:dyDescent="0.2">
      <c r="B35" s="1" t="s">
        <v>176</v>
      </c>
      <c r="C35" s="1" t="s">
        <v>285</v>
      </c>
      <c r="D35" s="1" t="s">
        <v>283</v>
      </c>
      <c r="F35" s="1" t="s">
        <v>149</v>
      </c>
      <c r="G35" s="1" t="s">
        <v>284</v>
      </c>
      <c r="H35" s="1" t="s">
        <v>121</v>
      </c>
      <c r="I35" s="1" t="s">
        <v>38</v>
      </c>
      <c r="J35" s="1" t="s">
        <v>39</v>
      </c>
      <c r="K35" s="1">
        <v>5.4</v>
      </c>
      <c r="Q35" s="2"/>
      <c r="R35" s="2"/>
      <c r="S35" s="2"/>
      <c r="T35" s="2"/>
      <c r="V35" s="2"/>
      <c r="AK35" s="37"/>
      <c r="AL35" s="8" t="s">
        <v>287</v>
      </c>
    </row>
    <row r="36" spans="1:39" x14ac:dyDescent="0.2">
      <c r="B36" s="1" t="s">
        <v>34</v>
      </c>
      <c r="C36" s="1" t="s">
        <v>286</v>
      </c>
      <c r="D36" s="1" t="s">
        <v>283</v>
      </c>
      <c r="F36" s="1" t="s">
        <v>149</v>
      </c>
      <c r="G36" s="1" t="s">
        <v>284</v>
      </c>
      <c r="H36" s="1" t="s">
        <v>121</v>
      </c>
      <c r="I36" s="1" t="s">
        <v>38</v>
      </c>
      <c r="J36" s="1" t="s">
        <v>39</v>
      </c>
      <c r="K36" s="1">
        <v>7</v>
      </c>
      <c r="Q36" s="2"/>
      <c r="R36" s="2"/>
      <c r="S36" s="2"/>
      <c r="T36" s="2"/>
      <c r="V36" s="2"/>
      <c r="AK36" s="37"/>
      <c r="AL36" s="1" t="s">
        <v>288</v>
      </c>
    </row>
    <row r="37" spans="1:39" s="14" customFormat="1" x14ac:dyDescent="0.2">
      <c r="A37" s="14" t="s">
        <v>157</v>
      </c>
      <c r="B37" s="14" t="s">
        <v>34</v>
      </c>
      <c r="C37" s="14" t="s">
        <v>158</v>
      </c>
      <c r="D37" s="14" t="s">
        <v>242</v>
      </c>
      <c r="E37" s="14">
        <v>0.68</v>
      </c>
      <c r="F37" s="14" t="s">
        <v>159</v>
      </c>
      <c r="G37" s="14" t="s">
        <v>290</v>
      </c>
      <c r="H37" s="14" t="s">
        <v>121</v>
      </c>
      <c r="I37" s="14" t="s">
        <v>38</v>
      </c>
      <c r="J37" s="14" t="s">
        <v>51</v>
      </c>
      <c r="K37" s="14">
        <v>20</v>
      </c>
      <c r="L37" s="14">
        <v>15</v>
      </c>
      <c r="M37" s="14" t="s">
        <v>160</v>
      </c>
      <c r="N37" s="14" t="s">
        <v>161</v>
      </c>
      <c r="O37" s="14" t="s">
        <v>162</v>
      </c>
      <c r="P37" s="14">
        <v>7</v>
      </c>
      <c r="Q37" s="28">
        <v>1.48</v>
      </c>
      <c r="R37" s="28">
        <v>1.4</v>
      </c>
      <c r="S37" s="28">
        <v>2.4900000000000002</v>
      </c>
      <c r="T37" s="28">
        <v>1.37</v>
      </c>
      <c r="Z37" s="14" t="s">
        <v>47</v>
      </c>
      <c r="AD37" s="14">
        <v>1981</v>
      </c>
      <c r="AF37" s="14">
        <v>1983</v>
      </c>
      <c r="AH37" s="14">
        <v>1991</v>
      </c>
      <c r="AK37" s="32" t="s">
        <v>450</v>
      </c>
      <c r="AL37" s="33" t="s">
        <v>449</v>
      </c>
      <c r="AM37" s="14" t="s">
        <v>451</v>
      </c>
    </row>
    <row r="38" spans="1:39" s="14" customFormat="1" x14ac:dyDescent="0.2">
      <c r="A38" s="14" t="s">
        <v>163</v>
      </c>
      <c r="B38" s="14" t="s">
        <v>34</v>
      </c>
      <c r="C38" s="14" t="s">
        <v>164</v>
      </c>
      <c r="D38" s="14" t="s">
        <v>242</v>
      </c>
      <c r="E38" s="14">
        <v>0.75</v>
      </c>
      <c r="F38" s="14" t="s">
        <v>165</v>
      </c>
      <c r="G38" s="14" t="s">
        <v>291</v>
      </c>
      <c r="H38" s="14" t="s">
        <v>121</v>
      </c>
      <c r="I38" s="14" t="s">
        <v>38</v>
      </c>
      <c r="J38" s="14" t="s">
        <v>39</v>
      </c>
      <c r="K38" s="14">
        <v>7.6</v>
      </c>
      <c r="M38" s="14" t="s">
        <v>40</v>
      </c>
      <c r="N38" s="14" t="s">
        <v>166</v>
      </c>
      <c r="O38" s="14" t="s">
        <v>89</v>
      </c>
      <c r="P38" s="14">
        <v>6</v>
      </c>
      <c r="Q38" s="28">
        <v>19.760000000000002</v>
      </c>
      <c r="R38" s="28">
        <v>19.760000000000002</v>
      </c>
      <c r="S38" s="28">
        <v>20.62</v>
      </c>
      <c r="T38" s="28">
        <v>15.63</v>
      </c>
      <c r="AD38" s="14">
        <v>1991</v>
      </c>
      <c r="AE38" s="14">
        <v>1992</v>
      </c>
      <c r="AF38" s="14">
        <v>1992</v>
      </c>
      <c r="AH38" s="14">
        <v>1999</v>
      </c>
      <c r="AK38" s="32"/>
      <c r="AL38" s="34"/>
      <c r="AM38" s="14" t="s">
        <v>452</v>
      </c>
    </row>
    <row r="39" spans="1:39" s="14" customFormat="1" x14ac:dyDescent="0.2">
      <c r="B39" s="14" t="s">
        <v>34</v>
      </c>
      <c r="C39" s="14" t="s">
        <v>292</v>
      </c>
      <c r="D39" s="14" t="s">
        <v>242</v>
      </c>
      <c r="F39" s="14" t="s">
        <v>165</v>
      </c>
      <c r="G39" s="14" t="s">
        <v>291</v>
      </c>
      <c r="H39" s="14" t="s">
        <v>121</v>
      </c>
      <c r="I39" s="14" t="s">
        <v>38</v>
      </c>
      <c r="J39" s="14" t="s">
        <v>39</v>
      </c>
      <c r="K39" s="14">
        <v>6.8</v>
      </c>
      <c r="Q39" s="28"/>
      <c r="R39" s="28"/>
      <c r="S39" s="28"/>
      <c r="T39" s="28"/>
      <c r="AH39" s="14">
        <v>2005</v>
      </c>
      <c r="AK39" s="32"/>
      <c r="AL39" s="34"/>
    </row>
    <row r="40" spans="1:39" s="14" customFormat="1" x14ac:dyDescent="0.2">
      <c r="B40" s="14" t="s">
        <v>176</v>
      </c>
      <c r="C40" s="14" t="s">
        <v>293</v>
      </c>
      <c r="D40" s="14" t="s">
        <v>277</v>
      </c>
      <c r="F40" s="14" t="s">
        <v>165</v>
      </c>
      <c r="G40" s="14" t="s">
        <v>291</v>
      </c>
      <c r="H40" s="14" t="s">
        <v>121</v>
      </c>
      <c r="I40" s="14" t="s">
        <v>38</v>
      </c>
      <c r="J40" s="14" t="s">
        <v>39</v>
      </c>
      <c r="K40" s="14">
        <v>8.1999999999999993</v>
      </c>
      <c r="L40" s="14">
        <v>8</v>
      </c>
      <c r="Q40" s="28"/>
      <c r="R40" s="28"/>
      <c r="S40" s="28"/>
      <c r="T40" s="28"/>
      <c r="AH40" s="14">
        <v>2004</v>
      </c>
      <c r="AK40" s="32"/>
      <c r="AL40" s="34"/>
    </row>
    <row r="41" spans="1:39" x14ac:dyDescent="0.2">
      <c r="A41" s="1" t="s">
        <v>167</v>
      </c>
      <c r="B41" s="1" t="s">
        <v>34</v>
      </c>
      <c r="C41" s="1" t="s">
        <v>168</v>
      </c>
      <c r="D41" s="1" t="s">
        <v>299</v>
      </c>
      <c r="E41" s="1">
        <v>0.2</v>
      </c>
      <c r="F41" s="1" t="s">
        <v>169</v>
      </c>
      <c r="G41" s="1" t="s">
        <v>289</v>
      </c>
      <c r="H41" s="1" t="s">
        <v>170</v>
      </c>
      <c r="I41" s="1" t="s">
        <v>38</v>
      </c>
      <c r="J41" s="1" t="s">
        <v>51</v>
      </c>
      <c r="K41" s="1">
        <v>15.6</v>
      </c>
      <c r="M41" s="1" t="s">
        <v>47</v>
      </c>
      <c r="AD41" s="1">
        <v>1997</v>
      </c>
      <c r="AF41" s="1">
        <v>1999</v>
      </c>
      <c r="AG41" s="1">
        <v>2003</v>
      </c>
      <c r="AH41" s="1">
        <v>2009</v>
      </c>
    </row>
    <row r="42" spans="1:39" x14ac:dyDescent="0.2">
      <c r="A42" s="1" t="s">
        <v>171</v>
      </c>
      <c r="B42" s="1" t="s">
        <v>34</v>
      </c>
      <c r="C42" s="1" t="s">
        <v>172</v>
      </c>
      <c r="D42" s="1" t="s">
        <v>241</v>
      </c>
      <c r="E42" s="1">
        <v>0.92</v>
      </c>
      <c r="F42" s="1" t="s">
        <v>173</v>
      </c>
      <c r="G42" s="1" t="s">
        <v>301</v>
      </c>
      <c r="H42" s="1" t="s">
        <v>174</v>
      </c>
      <c r="I42" s="1" t="s">
        <v>38</v>
      </c>
      <c r="J42" s="1" t="s">
        <v>39</v>
      </c>
      <c r="K42" s="1">
        <v>17</v>
      </c>
      <c r="M42" s="1" t="s">
        <v>47</v>
      </c>
      <c r="AD42" s="1">
        <v>2005</v>
      </c>
      <c r="AF42" s="1">
        <v>1996</v>
      </c>
      <c r="AH42" s="1">
        <v>2001</v>
      </c>
    </row>
    <row r="43" spans="1:39" x14ac:dyDescent="0.2">
      <c r="A43" s="1" t="s">
        <v>175</v>
      </c>
      <c r="B43" s="1" t="s">
        <v>176</v>
      </c>
      <c r="C43" s="1" t="s">
        <v>177</v>
      </c>
      <c r="D43" s="1" t="s">
        <v>241</v>
      </c>
      <c r="E43" s="1">
        <v>0.75</v>
      </c>
      <c r="F43" s="1" t="s">
        <v>178</v>
      </c>
      <c r="G43" s="1" t="s">
        <v>302</v>
      </c>
      <c r="H43" s="1" t="s">
        <v>174</v>
      </c>
      <c r="I43" s="1" t="s">
        <v>38</v>
      </c>
      <c r="J43" s="1" t="s">
        <v>51</v>
      </c>
      <c r="K43" s="1">
        <v>18</v>
      </c>
      <c r="M43" s="1" t="s">
        <v>40</v>
      </c>
      <c r="N43" s="1" t="s">
        <v>179</v>
      </c>
      <c r="O43" s="1" t="s">
        <v>180</v>
      </c>
      <c r="P43" s="1">
        <v>6</v>
      </c>
      <c r="Q43" s="2">
        <v>11.6</v>
      </c>
      <c r="R43" s="2">
        <v>11.6</v>
      </c>
      <c r="S43" s="2">
        <v>27.6</v>
      </c>
      <c r="T43" s="2">
        <v>10.4</v>
      </c>
      <c r="AD43" s="1">
        <v>1984</v>
      </c>
      <c r="AF43" s="1">
        <v>1987</v>
      </c>
      <c r="AH43" s="1">
        <v>1993</v>
      </c>
    </row>
    <row r="44" spans="1:39" s="6" customFormat="1" x14ac:dyDescent="0.2">
      <c r="A44" s="6" t="s">
        <v>184</v>
      </c>
      <c r="B44" s="6" t="s">
        <v>34</v>
      </c>
      <c r="C44" s="6" t="s">
        <v>185</v>
      </c>
      <c r="D44" s="6" t="s">
        <v>304</v>
      </c>
      <c r="E44" s="6">
        <v>0.43</v>
      </c>
      <c r="F44" s="6" t="s">
        <v>186</v>
      </c>
      <c r="G44" s="6" t="s">
        <v>303</v>
      </c>
      <c r="H44" s="6" t="s">
        <v>187</v>
      </c>
      <c r="I44" s="6" t="s">
        <v>38</v>
      </c>
      <c r="J44" s="6" t="s">
        <v>39</v>
      </c>
      <c r="K44" s="6">
        <v>9.8000000000000007</v>
      </c>
      <c r="AG44" s="6">
        <v>2000</v>
      </c>
      <c r="AH44" s="6">
        <v>2008</v>
      </c>
    </row>
    <row r="45" spans="1:39" s="6" customFormat="1" x14ac:dyDescent="0.2">
      <c r="B45" s="6" t="s">
        <v>176</v>
      </c>
      <c r="C45" s="6" t="s">
        <v>305</v>
      </c>
      <c r="D45" s="6" t="s">
        <v>304</v>
      </c>
      <c r="F45" s="6" t="s">
        <v>186</v>
      </c>
      <c r="G45" s="6" t="s">
        <v>303</v>
      </c>
      <c r="H45" s="6" t="s">
        <v>187</v>
      </c>
      <c r="I45" s="6" t="s">
        <v>38</v>
      </c>
      <c r="J45" s="6" t="s">
        <v>39</v>
      </c>
      <c r="K45" s="6">
        <v>9.6</v>
      </c>
      <c r="AF45" s="6">
        <v>2010</v>
      </c>
      <c r="AG45" s="6">
        <v>2013</v>
      </c>
      <c r="AH45" s="6">
        <v>2018</v>
      </c>
    </row>
    <row r="47" spans="1:39" s="9" customFormat="1" x14ac:dyDescent="0.2">
      <c r="A47" s="9" t="s">
        <v>84</v>
      </c>
      <c r="B47" s="9" t="s">
        <v>34</v>
      </c>
      <c r="C47" s="9" t="s">
        <v>85</v>
      </c>
      <c r="F47" s="9" t="s">
        <v>86</v>
      </c>
      <c r="G47" s="9" t="s">
        <v>296</v>
      </c>
      <c r="H47" s="9" t="s">
        <v>87</v>
      </c>
      <c r="I47" s="9" t="s">
        <v>38</v>
      </c>
      <c r="J47" s="9" t="s">
        <v>39</v>
      </c>
      <c r="K47" s="9">
        <v>18</v>
      </c>
      <c r="M47" s="9" t="s">
        <v>40</v>
      </c>
      <c r="N47" s="9" t="s">
        <v>88</v>
      </c>
      <c r="O47" s="9" t="s">
        <v>89</v>
      </c>
      <c r="P47" s="9">
        <v>3</v>
      </c>
      <c r="Q47" s="10">
        <v>15.09</v>
      </c>
      <c r="AD47" s="9">
        <v>1999</v>
      </c>
      <c r="AF47" s="9">
        <v>2000</v>
      </c>
    </row>
    <row r="48" spans="1:39" x14ac:dyDescent="0.2">
      <c r="C48" s="1" t="s">
        <v>188</v>
      </c>
      <c r="F48" s="1" t="s">
        <v>95</v>
      </c>
      <c r="H48" s="1" t="s">
        <v>96</v>
      </c>
      <c r="I48" s="1" t="s">
        <v>38</v>
      </c>
      <c r="J48" s="1" t="s">
        <v>39</v>
      </c>
      <c r="K48" s="1">
        <v>3.1</v>
      </c>
      <c r="AH48" s="1">
        <v>2019</v>
      </c>
    </row>
    <row r="49" spans="3:34" x14ac:dyDescent="0.2">
      <c r="C49" s="1" t="s">
        <v>189</v>
      </c>
      <c r="F49" s="1" t="s">
        <v>95</v>
      </c>
      <c r="H49" s="1" t="s">
        <v>96</v>
      </c>
      <c r="I49" s="1" t="s">
        <v>38</v>
      </c>
      <c r="J49" s="1" t="s">
        <v>39</v>
      </c>
      <c r="K49" s="1">
        <v>5.2</v>
      </c>
      <c r="AH49" s="1">
        <v>2016</v>
      </c>
    </row>
    <row r="50" spans="3:34" x14ac:dyDescent="0.2">
      <c r="C50" s="1" t="s">
        <v>190</v>
      </c>
      <c r="F50" s="1" t="s">
        <v>95</v>
      </c>
      <c r="H50" s="1" t="s">
        <v>96</v>
      </c>
      <c r="I50" s="1" t="s">
        <v>38</v>
      </c>
      <c r="J50" s="1" t="s">
        <v>39</v>
      </c>
      <c r="K50" s="1">
        <v>3.1</v>
      </c>
      <c r="AH50" s="1">
        <v>2015</v>
      </c>
    </row>
    <row r="51" spans="3:34" x14ac:dyDescent="0.2">
      <c r="C51" s="1" t="s">
        <v>191</v>
      </c>
      <c r="F51" s="1" t="s">
        <v>106</v>
      </c>
      <c r="H51" s="1" t="s">
        <v>107</v>
      </c>
      <c r="I51" s="1" t="s">
        <v>38</v>
      </c>
      <c r="J51" s="1" t="s">
        <v>51</v>
      </c>
      <c r="K51" s="1">
        <v>6.5</v>
      </c>
      <c r="AH51" s="1">
        <v>2009</v>
      </c>
    </row>
    <row r="52" spans="3:34" x14ac:dyDescent="0.2">
      <c r="C52" s="1" t="s">
        <v>192</v>
      </c>
      <c r="F52" s="1" t="s">
        <v>106</v>
      </c>
      <c r="H52" s="1" t="s">
        <v>107</v>
      </c>
      <c r="I52" s="1" t="s">
        <v>38</v>
      </c>
      <c r="J52" s="1" t="s">
        <v>51</v>
      </c>
      <c r="K52" s="1">
        <v>11.7</v>
      </c>
      <c r="AH52" s="1">
        <v>2015</v>
      </c>
    </row>
    <row r="53" spans="3:34" x14ac:dyDescent="0.2">
      <c r="C53" s="1" t="s">
        <v>193</v>
      </c>
      <c r="F53" s="1" t="s">
        <v>120</v>
      </c>
      <c r="H53" s="1" t="s">
        <v>121</v>
      </c>
      <c r="I53" s="1" t="s">
        <v>38</v>
      </c>
      <c r="J53" s="1" t="s">
        <v>51</v>
      </c>
      <c r="K53" s="1">
        <v>1.6</v>
      </c>
      <c r="AH53" s="1">
        <v>2012</v>
      </c>
    </row>
    <row r="54" spans="3:34" x14ac:dyDescent="0.2">
      <c r="C54" s="1" t="s">
        <v>194</v>
      </c>
      <c r="F54" s="1" t="s">
        <v>127</v>
      </c>
      <c r="H54" s="1" t="s">
        <v>128</v>
      </c>
      <c r="I54" s="1" t="s">
        <v>38</v>
      </c>
      <c r="J54" s="1" t="s">
        <v>51</v>
      </c>
      <c r="K54" s="1">
        <v>24.2</v>
      </c>
      <c r="AH54" s="1">
        <v>1999</v>
      </c>
    </row>
    <row r="55" spans="3:34" x14ac:dyDescent="0.2">
      <c r="C55" s="1" t="s">
        <v>195</v>
      </c>
      <c r="F55" s="1" t="s">
        <v>127</v>
      </c>
      <c r="H55" s="1" t="s">
        <v>128</v>
      </c>
      <c r="I55" s="1" t="s">
        <v>38</v>
      </c>
      <c r="J55" s="1" t="s">
        <v>51</v>
      </c>
      <c r="K55" s="1">
        <v>3.7</v>
      </c>
      <c r="AH55" s="1">
        <v>2001</v>
      </c>
    </row>
    <row r="56" spans="3:34" x14ac:dyDescent="0.2">
      <c r="C56" s="1" t="s">
        <v>196</v>
      </c>
      <c r="F56" s="1" t="s">
        <v>127</v>
      </c>
      <c r="H56" s="1" t="s">
        <v>128</v>
      </c>
      <c r="I56" s="1" t="s">
        <v>38</v>
      </c>
      <c r="J56" s="1" t="s">
        <v>39</v>
      </c>
      <c r="K56" s="1">
        <v>8.1999999999999993</v>
      </c>
      <c r="AH56" s="1">
        <v>2013</v>
      </c>
    </row>
    <row r="57" spans="3:34" x14ac:dyDescent="0.2">
      <c r="C57" s="1" t="s">
        <v>197</v>
      </c>
      <c r="F57" s="1" t="s">
        <v>169</v>
      </c>
      <c r="H57" s="1" t="s">
        <v>170</v>
      </c>
      <c r="I57" s="1" t="s">
        <v>38</v>
      </c>
      <c r="J57" s="1" t="s">
        <v>39</v>
      </c>
      <c r="K57" s="1">
        <v>2.6</v>
      </c>
      <c r="AH57" s="1">
        <v>2016</v>
      </c>
    </row>
    <row r="58" spans="3:34" x14ac:dyDescent="0.2">
      <c r="C58" s="1" t="s">
        <v>198</v>
      </c>
      <c r="F58" s="1" t="s">
        <v>169</v>
      </c>
      <c r="H58" s="1" t="s">
        <v>170</v>
      </c>
      <c r="I58" s="1" t="s">
        <v>38</v>
      </c>
      <c r="J58" s="1" t="s">
        <v>39</v>
      </c>
      <c r="K58" s="1">
        <v>5.0999999999999996</v>
      </c>
      <c r="AH58" s="1">
        <v>2016</v>
      </c>
    </row>
    <row r="59" spans="3:34" x14ac:dyDescent="0.2">
      <c r="C59" s="1" t="s">
        <v>199</v>
      </c>
      <c r="F59" s="1" t="s">
        <v>169</v>
      </c>
      <c r="H59" s="1" t="s">
        <v>170</v>
      </c>
      <c r="I59" s="1" t="s">
        <v>38</v>
      </c>
      <c r="J59" s="1" t="s">
        <v>51</v>
      </c>
      <c r="K59" s="1">
        <v>25.1</v>
      </c>
      <c r="AH59" s="1">
        <v>2009</v>
      </c>
    </row>
    <row r="60" spans="3:34" x14ac:dyDescent="0.2">
      <c r="C60" s="1" t="s">
        <v>200</v>
      </c>
      <c r="F60" s="1" t="s">
        <v>201</v>
      </c>
      <c r="H60" s="1" t="s">
        <v>77</v>
      </c>
      <c r="I60" s="1" t="s">
        <v>38</v>
      </c>
      <c r="J60" s="1" t="s">
        <v>51</v>
      </c>
      <c r="K60" s="1">
        <v>45.1</v>
      </c>
      <c r="AH60" s="1">
        <v>2003</v>
      </c>
    </row>
  </sheetData>
  <mergeCells count="17">
    <mergeCell ref="AK13:AK14"/>
    <mergeCell ref="AJ13:AJ14"/>
    <mergeCell ref="AK20:AK23"/>
    <mergeCell ref="AJ5:AJ7"/>
    <mergeCell ref="AK5:AK7"/>
    <mergeCell ref="AK8:AK10"/>
    <mergeCell ref="AJ8:AJ10"/>
    <mergeCell ref="AJ11:AJ12"/>
    <mergeCell ref="AK11:AK12"/>
    <mergeCell ref="AJ20:AJ23"/>
    <mergeCell ref="AK24:AK26"/>
    <mergeCell ref="AJ24:AJ26"/>
    <mergeCell ref="AK37:AK40"/>
    <mergeCell ref="AL37:AL40"/>
    <mergeCell ref="AJ27:AJ30"/>
    <mergeCell ref="AK27:AK28"/>
    <mergeCell ref="AK35:AK36"/>
  </mergeCells>
  <hyperlinks>
    <hyperlink ref="AK8" r:id="rId1" xr:uid="{2F5BF614-5FBE-A249-86F4-E3D018D52361}"/>
    <hyperlink ref="AK5" r:id="rId2" xr:uid="{BE0AFE1C-1904-354F-AF46-73743652086B}"/>
    <hyperlink ref="AK13" r:id="rId3" xr:uid="{8333CFE8-D761-B84E-A57F-D785CE878EF5}"/>
    <hyperlink ref="AK24" r:id="rId4" xr:uid="{75D9399C-468B-3545-833A-6D599AE19D5B}"/>
    <hyperlink ref="AK20" r:id="rId5" xr:uid="{3C5A73F6-BD77-DB43-8BCC-813458A6240F}"/>
    <hyperlink ref="AK11" r:id="rId6" xr:uid="{901CA0A9-1DD0-3B4F-8E6D-449DEF3F1027}"/>
    <hyperlink ref="AK4" r:id="rId7" xr:uid="{3BFDBF7D-8FD3-604F-A273-0213868CA644}"/>
    <hyperlink ref="AK3" r:id="rId8" xr:uid="{12D5EFD3-F5A0-B64B-AB01-549EC6252BD3}"/>
    <hyperlink ref="AL24" r:id="rId9" xr:uid="{5C295BB3-0509-2C41-B20C-B0584BE4631A}"/>
    <hyperlink ref="AN27" r:id="rId10" xr:uid="{1D43D9E1-FD32-CA4B-AC6B-99ACEA8740A9}"/>
    <hyperlink ref="AM27" r:id="rId11" xr:uid="{0CEA69E9-00C0-4443-BAE1-259010705FDA}"/>
    <hyperlink ref="AK27" r:id="rId12" xr:uid="{1215BB76-120D-754A-A40F-B1A520227E56}"/>
    <hyperlink ref="AL35" r:id="rId13" xr:uid="{9EBB2061-8B3D-3B49-87F3-F22DB5AED0FB}"/>
    <hyperlink ref="AL37" r:id="rId14" xr:uid="{B812BCF8-B474-2543-8132-68AEAC26377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06EB1-0CF8-1E44-828D-7BDCEE13F657}">
  <dimension ref="A1:R47"/>
  <sheetViews>
    <sheetView topLeftCell="B1" workbookViewId="0">
      <pane xSplit="2" ySplit="2" topLeftCell="G3" activePane="bottomRight" state="frozen"/>
      <selection activeCell="B1" sqref="B1"/>
      <selection pane="topRight" activeCell="D1" sqref="D1"/>
      <selection pane="bottomLeft" activeCell="B3" sqref="B3"/>
      <selection pane="bottomRight" activeCell="L3" sqref="L3"/>
    </sheetView>
  </sheetViews>
  <sheetFormatPr baseColWidth="10" defaultRowHeight="16" x14ac:dyDescent="0.2"/>
  <cols>
    <col min="1" max="1" width="10.83203125" style="1"/>
    <col min="2" max="2" width="4.5" style="1" customWidth="1"/>
    <col min="3" max="3" width="28" style="1" bestFit="1" customWidth="1"/>
    <col min="4" max="4" width="15" style="1" bestFit="1" customWidth="1"/>
    <col min="5" max="5" width="6.5" style="1" bestFit="1" customWidth="1"/>
    <col min="6" max="6" width="18.1640625" style="1" bestFit="1" customWidth="1"/>
    <col min="7" max="7" width="29.6640625" style="1" bestFit="1" customWidth="1"/>
    <col min="8" max="8" width="13" style="12" bestFit="1" customWidth="1"/>
    <col min="9" max="9" width="6.1640625" style="1" bestFit="1" customWidth="1"/>
    <col min="10" max="10" width="16" style="11" bestFit="1" customWidth="1"/>
    <col min="11" max="11" width="25.5" style="1" bestFit="1" customWidth="1"/>
    <col min="12" max="12" width="7.1640625" style="1" bestFit="1" customWidth="1"/>
    <col min="13" max="13" width="12.5" style="1" bestFit="1" customWidth="1"/>
    <col min="14" max="15" width="10.83203125" style="1"/>
    <col min="16" max="16" width="14.83203125" style="11" bestFit="1" customWidth="1"/>
    <col min="17" max="17" width="13.83203125" style="11" bestFit="1" customWidth="1"/>
    <col min="18" max="16384" width="10.83203125" style="1"/>
  </cols>
  <sheetData>
    <row r="1" spans="1:18" customFormat="1" x14ac:dyDescent="0.2">
      <c r="N1" s="38" t="s">
        <v>7</v>
      </c>
      <c r="O1" s="38"/>
      <c r="P1" s="38"/>
      <c r="Q1" s="38"/>
    </row>
    <row r="2" spans="1:18" customFormat="1" x14ac:dyDescent="0.2">
      <c r="A2" t="s">
        <v>8</v>
      </c>
      <c r="B2" t="s">
        <v>347</v>
      </c>
      <c r="C2" t="s">
        <v>238</v>
      </c>
      <c r="D2" t="s">
        <v>239</v>
      </c>
      <c r="E2" t="s">
        <v>12</v>
      </c>
      <c r="F2" t="s">
        <v>11</v>
      </c>
      <c r="G2" t="s">
        <v>214</v>
      </c>
      <c r="H2" t="s">
        <v>337</v>
      </c>
      <c r="I2" t="s">
        <v>14</v>
      </c>
      <c r="J2" t="s">
        <v>15</v>
      </c>
      <c r="K2" t="s">
        <v>385</v>
      </c>
      <c r="L2" t="s">
        <v>386</v>
      </c>
      <c r="M2" t="s">
        <v>346</v>
      </c>
      <c r="N2" t="s">
        <v>26</v>
      </c>
      <c r="O2" t="s">
        <v>28</v>
      </c>
      <c r="P2" t="s">
        <v>312</v>
      </c>
      <c r="Q2" t="s">
        <v>311</v>
      </c>
    </row>
    <row r="3" spans="1:18" x14ac:dyDescent="0.2">
      <c r="A3" s="1" t="s">
        <v>33</v>
      </c>
      <c r="B3" s="1">
        <v>1</v>
      </c>
      <c r="C3" s="1" t="s">
        <v>313</v>
      </c>
      <c r="D3" s="1" t="s">
        <v>295</v>
      </c>
      <c r="E3" s="1" t="s">
        <v>37</v>
      </c>
      <c r="F3" s="1" t="s">
        <v>36</v>
      </c>
      <c r="G3" s="1" t="s">
        <v>220</v>
      </c>
      <c r="H3" s="12">
        <v>0.73</v>
      </c>
      <c r="I3" s="1" t="s">
        <v>340</v>
      </c>
      <c r="J3" s="11">
        <v>4.0999999999999996</v>
      </c>
      <c r="K3" s="1" t="s">
        <v>89</v>
      </c>
      <c r="L3" s="1">
        <v>2</v>
      </c>
      <c r="M3" s="1">
        <v>7</v>
      </c>
      <c r="N3" s="1">
        <v>1990</v>
      </c>
      <c r="O3" s="1">
        <v>1993</v>
      </c>
      <c r="P3" s="11">
        <v>1994</v>
      </c>
      <c r="Q3" s="11">
        <v>1997</v>
      </c>
      <c r="R3" s="1">
        <f>P3-O3</f>
        <v>1</v>
      </c>
    </row>
    <row r="4" spans="1:18" s="14" customFormat="1" x14ac:dyDescent="0.2">
      <c r="A4" s="14" t="s">
        <v>45</v>
      </c>
      <c r="B4" s="14">
        <v>2</v>
      </c>
      <c r="C4" s="14" t="s">
        <v>325</v>
      </c>
      <c r="D4" s="14" t="s">
        <v>295</v>
      </c>
      <c r="E4" s="14" t="s">
        <v>37</v>
      </c>
      <c r="F4" s="14" t="s">
        <v>36</v>
      </c>
      <c r="G4" s="14" t="s">
        <v>220</v>
      </c>
      <c r="H4" s="15">
        <v>0.75</v>
      </c>
      <c r="I4" s="14" t="s">
        <v>340</v>
      </c>
      <c r="J4" s="16">
        <v>3.2</v>
      </c>
      <c r="K4" s="14" t="s">
        <v>89</v>
      </c>
      <c r="L4" s="14">
        <v>1</v>
      </c>
      <c r="M4" s="14">
        <v>3</v>
      </c>
      <c r="N4" s="14">
        <v>1988</v>
      </c>
      <c r="O4" s="14">
        <v>1989</v>
      </c>
      <c r="P4" s="16">
        <v>1994</v>
      </c>
      <c r="Q4" s="16">
        <v>1997</v>
      </c>
      <c r="R4" s="14">
        <f t="shared" ref="R4:R45" si="0">P4-O4</f>
        <v>5</v>
      </c>
    </row>
    <row r="5" spans="1:18" x14ac:dyDescent="0.2">
      <c r="A5" s="1" t="s">
        <v>48</v>
      </c>
      <c r="B5" s="1">
        <v>3</v>
      </c>
      <c r="C5" s="1" t="s">
        <v>315</v>
      </c>
      <c r="D5" s="1" t="s">
        <v>240</v>
      </c>
      <c r="E5" s="1" t="s">
        <v>50</v>
      </c>
      <c r="F5" s="1" t="s">
        <v>49</v>
      </c>
      <c r="G5" s="1" t="s">
        <v>215</v>
      </c>
      <c r="H5" s="12">
        <v>0.44</v>
      </c>
      <c r="I5" s="1" t="s">
        <v>339</v>
      </c>
      <c r="J5" s="11">
        <v>9.6</v>
      </c>
      <c r="K5" s="1" t="s">
        <v>89</v>
      </c>
      <c r="L5" s="1">
        <v>3</v>
      </c>
      <c r="M5" s="1">
        <v>16</v>
      </c>
      <c r="N5" s="1">
        <v>1990</v>
      </c>
      <c r="O5" s="1">
        <v>1991</v>
      </c>
      <c r="P5" s="11">
        <v>1993</v>
      </c>
      <c r="Q5" s="11">
        <v>1996</v>
      </c>
      <c r="R5" s="1">
        <f t="shared" si="0"/>
        <v>2</v>
      </c>
    </row>
    <row r="6" spans="1:18" s="14" customFormat="1" x14ac:dyDescent="0.2">
      <c r="B6" s="14">
        <v>4</v>
      </c>
      <c r="C6" s="14" t="s">
        <v>314</v>
      </c>
      <c r="D6" s="14" t="s">
        <v>241</v>
      </c>
      <c r="E6" s="14" t="s">
        <v>50</v>
      </c>
      <c r="F6" s="14" t="s">
        <v>49</v>
      </c>
      <c r="G6" s="14" t="s">
        <v>215</v>
      </c>
      <c r="H6" s="15"/>
      <c r="I6" s="14" t="s">
        <v>340</v>
      </c>
      <c r="J6" s="16">
        <v>6</v>
      </c>
      <c r="K6" s="14" t="s">
        <v>89</v>
      </c>
      <c r="L6" s="14">
        <v>1</v>
      </c>
      <c r="M6" s="14">
        <v>3</v>
      </c>
      <c r="N6" s="14">
        <v>1996</v>
      </c>
      <c r="O6" s="14">
        <v>1997</v>
      </c>
      <c r="P6" s="16">
        <v>2001</v>
      </c>
      <c r="Q6" s="16">
        <v>2002</v>
      </c>
      <c r="R6" s="14">
        <f t="shared" si="0"/>
        <v>4</v>
      </c>
    </row>
    <row r="7" spans="1:18" s="14" customFormat="1" x14ac:dyDescent="0.2">
      <c r="B7" s="14">
        <v>5</v>
      </c>
      <c r="C7" s="14" t="s">
        <v>60</v>
      </c>
      <c r="D7" s="14" t="s">
        <v>242</v>
      </c>
      <c r="E7" s="14" t="s">
        <v>50</v>
      </c>
      <c r="F7" s="14" t="s">
        <v>49</v>
      </c>
      <c r="G7" s="14" t="s">
        <v>215</v>
      </c>
      <c r="H7" s="15"/>
      <c r="I7" s="14" t="s">
        <v>340</v>
      </c>
      <c r="J7" s="16">
        <v>10.199999999999999</v>
      </c>
      <c r="K7" s="14" t="s">
        <v>89</v>
      </c>
      <c r="L7" s="14">
        <v>2</v>
      </c>
      <c r="M7" s="14">
        <v>4</v>
      </c>
      <c r="N7" s="14">
        <v>2002</v>
      </c>
      <c r="O7" s="14">
        <v>2003</v>
      </c>
      <c r="P7" s="16">
        <v>2007</v>
      </c>
      <c r="Q7" s="16">
        <v>2009</v>
      </c>
      <c r="R7" s="14">
        <f t="shared" si="0"/>
        <v>4</v>
      </c>
    </row>
    <row r="8" spans="1:18" s="14" customFormat="1" x14ac:dyDescent="0.2">
      <c r="A8" s="14" t="s">
        <v>53</v>
      </c>
      <c r="B8" s="14">
        <v>6</v>
      </c>
      <c r="C8" s="14" t="s">
        <v>316</v>
      </c>
      <c r="D8" s="14" t="s">
        <v>243</v>
      </c>
      <c r="E8" s="14" t="s">
        <v>56</v>
      </c>
      <c r="F8" s="14" t="s">
        <v>55</v>
      </c>
      <c r="G8" s="14" t="s">
        <v>217</v>
      </c>
      <c r="H8" s="15">
        <v>0.43</v>
      </c>
      <c r="I8" s="14" t="s">
        <v>339</v>
      </c>
      <c r="J8" s="16">
        <v>12.1</v>
      </c>
      <c r="K8" s="14" t="s">
        <v>89</v>
      </c>
      <c r="L8" s="14">
        <v>1</v>
      </c>
      <c r="M8" s="14">
        <v>3</v>
      </c>
      <c r="N8" s="14">
        <v>2003</v>
      </c>
      <c r="O8" s="14">
        <v>2003</v>
      </c>
      <c r="P8" s="16">
        <v>2007</v>
      </c>
      <c r="Q8" s="16">
        <v>2013</v>
      </c>
      <c r="R8" s="14">
        <f t="shared" si="0"/>
        <v>4</v>
      </c>
    </row>
    <row r="9" spans="1:18" x14ac:dyDescent="0.2">
      <c r="A9" s="1" t="s">
        <v>59</v>
      </c>
      <c r="B9" s="1">
        <v>7</v>
      </c>
      <c r="C9" s="1" t="s">
        <v>317</v>
      </c>
      <c r="D9" s="1" t="s">
        <v>244</v>
      </c>
      <c r="E9" s="1" t="s">
        <v>56</v>
      </c>
      <c r="F9" s="1" t="s">
        <v>55</v>
      </c>
      <c r="G9" s="1" t="s">
        <v>217</v>
      </c>
      <c r="H9" s="12">
        <v>0.68</v>
      </c>
      <c r="I9" s="1" t="s">
        <v>340</v>
      </c>
      <c r="J9" s="11">
        <v>8.6999999999999993</v>
      </c>
      <c r="K9" s="1" t="s">
        <v>89</v>
      </c>
      <c r="L9" s="1">
        <v>2</v>
      </c>
      <c r="M9" s="1">
        <v>5</v>
      </c>
      <c r="N9" s="1">
        <v>1999</v>
      </c>
      <c r="O9" s="1">
        <v>1999</v>
      </c>
      <c r="P9" s="11">
        <v>1999</v>
      </c>
      <c r="Q9" s="11">
        <v>2000</v>
      </c>
      <c r="R9" s="1">
        <f t="shared" si="0"/>
        <v>0</v>
      </c>
    </row>
    <row r="10" spans="1:18" s="14" customFormat="1" x14ac:dyDescent="0.2">
      <c r="B10" s="14">
        <v>8</v>
      </c>
      <c r="C10" s="14" t="s">
        <v>60</v>
      </c>
      <c r="D10" s="14" t="s">
        <v>245</v>
      </c>
      <c r="E10" s="14" t="s">
        <v>56</v>
      </c>
      <c r="F10" s="14" t="s">
        <v>55</v>
      </c>
      <c r="G10" s="14" t="s">
        <v>217</v>
      </c>
      <c r="H10" s="15"/>
      <c r="I10" s="14" t="s">
        <v>340</v>
      </c>
      <c r="J10" s="16">
        <v>19.12</v>
      </c>
      <c r="K10" s="14" t="s">
        <v>89</v>
      </c>
      <c r="L10" s="14">
        <v>2</v>
      </c>
      <c r="M10" s="14">
        <v>4</v>
      </c>
      <c r="N10" s="14">
        <v>1999</v>
      </c>
      <c r="O10" s="14">
        <v>1999</v>
      </c>
      <c r="P10" s="16">
        <v>2004</v>
      </c>
      <c r="Q10" s="16">
        <v>2006</v>
      </c>
      <c r="R10" s="14">
        <f t="shared" si="0"/>
        <v>5</v>
      </c>
    </row>
    <row r="11" spans="1:18" ht="17" customHeight="1" x14ac:dyDescent="0.2">
      <c r="A11" s="1" t="s">
        <v>62</v>
      </c>
      <c r="B11" s="1">
        <v>9</v>
      </c>
      <c r="C11" s="1" t="s">
        <v>318</v>
      </c>
      <c r="D11" s="1" t="s">
        <v>241</v>
      </c>
      <c r="E11" s="1" t="s">
        <v>50</v>
      </c>
      <c r="F11" s="1" t="s">
        <v>63</v>
      </c>
      <c r="G11" s="1" t="s">
        <v>230</v>
      </c>
      <c r="I11" s="1" t="s">
        <v>340</v>
      </c>
      <c r="J11" s="11">
        <v>5.26</v>
      </c>
      <c r="K11" s="1" t="s">
        <v>89</v>
      </c>
      <c r="L11" s="1">
        <v>1</v>
      </c>
      <c r="M11" s="1">
        <v>3</v>
      </c>
      <c r="N11" s="1">
        <v>2006</v>
      </c>
      <c r="O11" s="1">
        <v>2010</v>
      </c>
      <c r="P11" s="11">
        <v>2009</v>
      </c>
      <c r="Q11" s="11">
        <v>2014</v>
      </c>
      <c r="R11" s="1">
        <f t="shared" si="0"/>
        <v>-1</v>
      </c>
    </row>
    <row r="12" spans="1:18" x14ac:dyDescent="0.2">
      <c r="A12" s="1" t="s">
        <v>64</v>
      </c>
      <c r="B12" s="1">
        <v>10</v>
      </c>
      <c r="C12" s="1" t="s">
        <v>60</v>
      </c>
      <c r="D12" s="1" t="s">
        <v>246</v>
      </c>
      <c r="E12" s="1" t="s">
        <v>50</v>
      </c>
      <c r="F12" s="1" t="s">
        <v>63</v>
      </c>
      <c r="G12" s="1" t="s">
        <v>230</v>
      </c>
      <c r="H12" s="12">
        <v>0.75</v>
      </c>
      <c r="I12" s="1" t="s">
        <v>339</v>
      </c>
      <c r="J12" s="11">
        <v>6.8</v>
      </c>
      <c r="K12" s="1" t="s">
        <v>342</v>
      </c>
      <c r="L12" s="1">
        <v>2</v>
      </c>
      <c r="M12" s="1">
        <v>5</v>
      </c>
      <c r="N12" s="1">
        <v>2006</v>
      </c>
      <c r="O12" s="1">
        <v>2006</v>
      </c>
      <c r="P12" s="11">
        <v>2009</v>
      </c>
      <c r="Q12" s="11">
        <v>2015</v>
      </c>
      <c r="R12" s="1">
        <f t="shared" si="0"/>
        <v>3</v>
      </c>
    </row>
    <row r="13" spans="1:18" x14ac:dyDescent="0.2">
      <c r="A13" s="1" t="s">
        <v>65</v>
      </c>
      <c r="B13" s="1">
        <v>11</v>
      </c>
      <c r="C13" s="1" t="s">
        <v>319</v>
      </c>
      <c r="D13" s="1" t="s">
        <v>240</v>
      </c>
      <c r="E13" s="1" t="s">
        <v>67</v>
      </c>
      <c r="F13" s="1" t="s">
        <v>66</v>
      </c>
      <c r="G13" s="1" t="s">
        <v>236</v>
      </c>
      <c r="H13" s="12">
        <v>0.55000000000000004</v>
      </c>
      <c r="I13" s="1" t="s">
        <v>339</v>
      </c>
      <c r="J13" s="11">
        <v>11.6</v>
      </c>
      <c r="K13" s="1" t="s">
        <v>69</v>
      </c>
      <c r="L13" s="1">
        <v>2</v>
      </c>
      <c r="M13" s="1">
        <v>5</v>
      </c>
      <c r="N13" s="1">
        <v>1983</v>
      </c>
      <c r="O13" s="1">
        <v>1985</v>
      </c>
      <c r="P13" s="11">
        <v>2001</v>
      </c>
      <c r="Q13" s="11">
        <v>2004</v>
      </c>
      <c r="R13" s="1">
        <f t="shared" si="0"/>
        <v>16</v>
      </c>
    </row>
    <row r="14" spans="1:18" x14ac:dyDescent="0.2">
      <c r="A14" s="1" t="s">
        <v>70</v>
      </c>
      <c r="B14" s="1">
        <v>12</v>
      </c>
      <c r="C14" s="1" t="s">
        <v>320</v>
      </c>
      <c r="D14" s="1" t="s">
        <v>242</v>
      </c>
      <c r="E14" s="1" t="s">
        <v>67</v>
      </c>
      <c r="F14" s="1" t="s">
        <v>72</v>
      </c>
      <c r="G14" s="1" t="s">
        <v>236</v>
      </c>
      <c r="H14" s="12">
        <v>0.84</v>
      </c>
      <c r="I14" s="1" t="s">
        <v>339</v>
      </c>
      <c r="J14" s="11">
        <v>11</v>
      </c>
      <c r="K14" s="1" t="s">
        <v>73</v>
      </c>
      <c r="L14" s="1">
        <v>1</v>
      </c>
      <c r="M14" s="1">
        <v>3</v>
      </c>
      <c r="N14" s="1">
        <v>2006</v>
      </c>
      <c r="O14" s="1">
        <v>2009</v>
      </c>
      <c r="P14" s="11">
        <v>2010</v>
      </c>
      <c r="Q14" s="11">
        <v>2014</v>
      </c>
      <c r="R14" s="1">
        <f t="shared" si="0"/>
        <v>1</v>
      </c>
    </row>
    <row r="15" spans="1:18" x14ac:dyDescent="0.2">
      <c r="A15" s="1" t="s">
        <v>74</v>
      </c>
      <c r="B15" s="1">
        <v>13</v>
      </c>
      <c r="C15" s="1" t="s">
        <v>321</v>
      </c>
      <c r="D15" s="1" t="s">
        <v>295</v>
      </c>
      <c r="E15" s="1" t="s">
        <v>77</v>
      </c>
      <c r="F15" s="1" t="s">
        <v>76</v>
      </c>
      <c r="G15" s="1" t="s">
        <v>294</v>
      </c>
      <c r="H15" s="12">
        <v>0.72</v>
      </c>
      <c r="I15" s="1" t="s">
        <v>339</v>
      </c>
      <c r="J15" s="11">
        <v>15.42</v>
      </c>
      <c r="K15" s="1" t="s">
        <v>343</v>
      </c>
      <c r="L15" s="1">
        <v>2</v>
      </c>
      <c r="M15" s="1">
        <v>9</v>
      </c>
      <c r="N15" s="1">
        <v>1992</v>
      </c>
      <c r="O15" s="1">
        <v>1996</v>
      </c>
      <c r="P15" s="11" t="s">
        <v>307</v>
      </c>
      <c r="Q15" s="11" t="s">
        <v>308</v>
      </c>
      <c r="R15" s="1" t="e">
        <f t="shared" si="0"/>
        <v>#VALUE!</v>
      </c>
    </row>
    <row r="16" spans="1:18" x14ac:dyDescent="0.2">
      <c r="A16" s="1" t="s">
        <v>80</v>
      </c>
      <c r="B16" s="1">
        <v>14</v>
      </c>
      <c r="C16" s="1" t="s">
        <v>322</v>
      </c>
      <c r="D16" s="1" t="s">
        <v>295</v>
      </c>
      <c r="E16" s="1" t="s">
        <v>77</v>
      </c>
      <c r="F16" s="1" t="s">
        <v>82</v>
      </c>
      <c r="G16" s="1" t="s">
        <v>294</v>
      </c>
      <c r="H16" s="12">
        <v>0.81</v>
      </c>
      <c r="I16" s="1" t="s">
        <v>339</v>
      </c>
      <c r="J16" s="11">
        <v>8.8000000000000007</v>
      </c>
      <c r="K16" s="1" t="s">
        <v>89</v>
      </c>
      <c r="L16" s="1">
        <v>2</v>
      </c>
      <c r="M16" s="1">
        <v>7</v>
      </c>
      <c r="N16" s="1">
        <v>1997</v>
      </c>
      <c r="O16" s="1">
        <v>1998</v>
      </c>
      <c r="P16" s="11">
        <v>2000</v>
      </c>
      <c r="Q16" s="11">
        <v>2006</v>
      </c>
      <c r="R16" s="1">
        <f t="shared" si="0"/>
        <v>2</v>
      </c>
    </row>
    <row r="17" spans="1:18" x14ac:dyDescent="0.2">
      <c r="A17" s="1" t="s">
        <v>90</v>
      </c>
      <c r="B17" s="1">
        <v>15</v>
      </c>
      <c r="C17" s="1" t="s">
        <v>323</v>
      </c>
      <c r="D17" s="1" t="s">
        <v>295</v>
      </c>
      <c r="E17" s="1" t="s">
        <v>87</v>
      </c>
      <c r="F17" s="1" t="s">
        <v>86</v>
      </c>
      <c r="G17" s="1" t="s">
        <v>296</v>
      </c>
      <c r="H17" s="12">
        <v>0.45</v>
      </c>
      <c r="I17" s="1" t="s">
        <v>339</v>
      </c>
      <c r="J17" s="11">
        <v>7.34</v>
      </c>
      <c r="K17" s="1" t="s">
        <v>89</v>
      </c>
      <c r="L17" s="1">
        <v>1</v>
      </c>
      <c r="M17" s="1">
        <v>3</v>
      </c>
      <c r="N17" s="1">
        <v>2002</v>
      </c>
      <c r="O17" s="1">
        <v>2005</v>
      </c>
      <c r="P17" s="11">
        <v>2007</v>
      </c>
      <c r="Q17" s="11">
        <v>2011</v>
      </c>
      <c r="R17" s="1">
        <f t="shared" si="0"/>
        <v>2</v>
      </c>
    </row>
    <row r="18" spans="1:18" x14ac:dyDescent="0.2">
      <c r="A18" s="1" t="s">
        <v>93</v>
      </c>
      <c r="B18" s="1">
        <v>16</v>
      </c>
      <c r="C18" s="1" t="s">
        <v>324</v>
      </c>
      <c r="D18" s="1" t="s">
        <v>295</v>
      </c>
      <c r="E18" s="1" t="s">
        <v>96</v>
      </c>
      <c r="F18" s="1" t="s">
        <v>95</v>
      </c>
      <c r="G18" s="1" t="s">
        <v>297</v>
      </c>
      <c r="H18" s="12">
        <v>0.46</v>
      </c>
      <c r="I18" s="1" t="s">
        <v>339</v>
      </c>
      <c r="J18" s="11">
        <v>20.3</v>
      </c>
      <c r="K18" s="1" t="s">
        <v>89</v>
      </c>
      <c r="L18" s="1">
        <v>1</v>
      </c>
      <c r="M18" s="1">
        <v>3</v>
      </c>
      <c r="N18" s="1">
        <v>2001</v>
      </c>
      <c r="O18" s="1">
        <v>2002</v>
      </c>
      <c r="P18" s="11">
        <v>2005</v>
      </c>
      <c r="Q18" s="11">
        <v>2008</v>
      </c>
      <c r="R18" s="1">
        <f t="shared" si="0"/>
        <v>3</v>
      </c>
    </row>
    <row r="19" spans="1:18" x14ac:dyDescent="0.2">
      <c r="A19" s="1" t="s">
        <v>99</v>
      </c>
      <c r="B19" s="1">
        <v>17</v>
      </c>
      <c r="C19" s="1" t="s">
        <v>100</v>
      </c>
      <c r="D19" s="1" t="s">
        <v>350</v>
      </c>
      <c r="E19" s="1" t="s">
        <v>102</v>
      </c>
      <c r="F19" s="1" t="s">
        <v>101</v>
      </c>
      <c r="G19" s="1" t="s">
        <v>352</v>
      </c>
      <c r="H19" s="12">
        <v>0.54</v>
      </c>
      <c r="I19" s="1" t="s">
        <v>340</v>
      </c>
      <c r="J19" s="11">
        <v>25</v>
      </c>
      <c r="K19" s="1" t="s">
        <v>89</v>
      </c>
      <c r="L19" s="1">
        <v>2</v>
      </c>
      <c r="M19" s="1">
        <v>5</v>
      </c>
      <c r="N19" s="1">
        <v>2000</v>
      </c>
      <c r="O19" s="1">
        <v>2002</v>
      </c>
      <c r="P19" s="11">
        <v>2004</v>
      </c>
      <c r="Q19" s="11">
        <v>2013</v>
      </c>
      <c r="R19" s="1">
        <f t="shared" si="0"/>
        <v>2</v>
      </c>
    </row>
    <row r="20" spans="1:18" x14ac:dyDescent="0.2">
      <c r="A20" s="1" t="s">
        <v>104</v>
      </c>
      <c r="B20" s="1">
        <v>18</v>
      </c>
      <c r="C20" s="1" t="s">
        <v>348</v>
      </c>
      <c r="D20" s="1" t="s">
        <v>251</v>
      </c>
      <c r="E20" s="1" t="s">
        <v>107</v>
      </c>
      <c r="F20" s="1" t="s">
        <v>106</v>
      </c>
      <c r="G20" s="1" t="s">
        <v>250</v>
      </c>
      <c r="H20" s="12">
        <v>0.76</v>
      </c>
      <c r="I20" s="1" t="s">
        <v>339</v>
      </c>
      <c r="J20" s="11">
        <v>8.3000000000000007</v>
      </c>
      <c r="K20" s="1" t="s">
        <v>89</v>
      </c>
      <c r="L20" s="1">
        <v>2</v>
      </c>
      <c r="M20" s="1">
        <v>6</v>
      </c>
      <c r="N20" s="1">
        <v>1998</v>
      </c>
      <c r="O20" s="1">
        <v>2004</v>
      </c>
      <c r="P20" s="11">
        <v>2007</v>
      </c>
      <c r="Q20" s="11">
        <v>2009</v>
      </c>
      <c r="R20" s="1">
        <f t="shared" si="0"/>
        <v>3</v>
      </c>
    </row>
    <row r="21" spans="1:18" x14ac:dyDescent="0.2">
      <c r="A21" s="1" t="s">
        <v>110</v>
      </c>
      <c r="B21" s="1">
        <v>19</v>
      </c>
      <c r="C21" s="1" t="s">
        <v>349</v>
      </c>
      <c r="D21" s="1" t="s">
        <v>252</v>
      </c>
      <c r="E21" s="1" t="s">
        <v>107</v>
      </c>
      <c r="F21" s="1" t="s">
        <v>106</v>
      </c>
      <c r="G21" s="1" t="s">
        <v>250</v>
      </c>
      <c r="H21" s="12">
        <v>0.43</v>
      </c>
      <c r="I21" s="1" t="s">
        <v>340</v>
      </c>
      <c r="J21" s="11">
        <v>7.3</v>
      </c>
      <c r="K21" s="1" t="s">
        <v>89</v>
      </c>
      <c r="L21" s="1">
        <v>3</v>
      </c>
      <c r="M21" s="1">
        <v>9</v>
      </c>
      <c r="N21" s="1">
        <v>2008</v>
      </c>
      <c r="O21" s="1">
        <v>2010</v>
      </c>
      <c r="P21" s="11">
        <v>2012</v>
      </c>
      <c r="Q21" s="11">
        <v>2015</v>
      </c>
      <c r="R21" s="1">
        <f t="shared" si="0"/>
        <v>2</v>
      </c>
    </row>
    <row r="22" spans="1:18" x14ac:dyDescent="0.2">
      <c r="A22" s="1" t="s">
        <v>114</v>
      </c>
      <c r="B22" s="1">
        <v>20</v>
      </c>
      <c r="C22" s="1" t="s">
        <v>341</v>
      </c>
      <c r="D22" s="1" t="s">
        <v>253</v>
      </c>
      <c r="E22" s="1" t="s">
        <v>107</v>
      </c>
      <c r="F22" s="1" t="s">
        <v>106</v>
      </c>
      <c r="G22" s="1" t="s">
        <v>250</v>
      </c>
      <c r="H22" s="12">
        <v>0.73</v>
      </c>
      <c r="I22" s="1" t="s">
        <v>340</v>
      </c>
      <c r="J22" s="11">
        <v>17.100000000000001</v>
      </c>
      <c r="K22" s="1" t="s">
        <v>117</v>
      </c>
      <c r="L22" s="1">
        <v>2</v>
      </c>
      <c r="M22" s="1">
        <v>5</v>
      </c>
      <c r="N22" s="1">
        <v>1993</v>
      </c>
      <c r="O22" s="1">
        <v>1994</v>
      </c>
      <c r="P22" s="11">
        <v>1994</v>
      </c>
      <c r="Q22" s="11">
        <v>1998</v>
      </c>
      <c r="R22" s="1">
        <f t="shared" si="0"/>
        <v>0</v>
      </c>
    </row>
    <row r="23" spans="1:18" x14ac:dyDescent="0.2">
      <c r="B23" s="1">
        <v>21</v>
      </c>
      <c r="C23" s="1" t="s">
        <v>257</v>
      </c>
      <c r="D23" s="1" t="s">
        <v>254</v>
      </c>
      <c r="E23" s="1" t="s">
        <v>107</v>
      </c>
      <c r="F23" s="1" t="s">
        <v>106</v>
      </c>
      <c r="G23" s="1" t="s">
        <v>250</v>
      </c>
      <c r="I23" s="1" t="s">
        <v>339</v>
      </c>
      <c r="J23" s="11">
        <v>5.63</v>
      </c>
      <c r="K23" s="1" t="s">
        <v>89</v>
      </c>
      <c r="L23" s="1">
        <v>2</v>
      </c>
      <c r="M23" s="1">
        <v>6</v>
      </c>
      <c r="N23" s="1">
        <v>1997</v>
      </c>
      <c r="O23" s="1">
        <v>1999</v>
      </c>
      <c r="P23" s="11">
        <v>2001</v>
      </c>
      <c r="Q23" s="11">
        <v>2004</v>
      </c>
      <c r="R23" s="1">
        <f t="shared" si="0"/>
        <v>2</v>
      </c>
    </row>
    <row r="24" spans="1:18" x14ac:dyDescent="0.2">
      <c r="A24" s="1" t="s">
        <v>118</v>
      </c>
      <c r="B24" s="1">
        <v>22</v>
      </c>
      <c r="C24" s="1" t="s">
        <v>326</v>
      </c>
      <c r="D24" s="1" t="s">
        <v>240</v>
      </c>
      <c r="E24" s="1" t="s">
        <v>121</v>
      </c>
      <c r="F24" s="1" t="s">
        <v>120</v>
      </c>
      <c r="G24" s="1" t="s">
        <v>261</v>
      </c>
      <c r="H24" s="12">
        <v>0.56999999999999995</v>
      </c>
      <c r="I24" s="1" t="s">
        <v>340</v>
      </c>
      <c r="J24" s="11">
        <v>6.92</v>
      </c>
      <c r="K24" s="1" t="s">
        <v>89</v>
      </c>
      <c r="L24" s="1">
        <v>2</v>
      </c>
      <c r="M24" s="1">
        <v>4</v>
      </c>
      <c r="N24" s="1">
        <v>2007</v>
      </c>
      <c r="O24" s="1">
        <v>2008</v>
      </c>
      <c r="P24" s="11">
        <v>2012</v>
      </c>
      <c r="Q24" s="11">
        <v>2015</v>
      </c>
      <c r="R24" s="1">
        <f t="shared" si="0"/>
        <v>4</v>
      </c>
    </row>
    <row r="25" spans="1:18" x14ac:dyDescent="0.2">
      <c r="A25" s="1" t="s">
        <v>122</v>
      </c>
      <c r="B25" s="1">
        <v>23</v>
      </c>
      <c r="C25" s="1" t="s">
        <v>327</v>
      </c>
      <c r="D25" s="1" t="s">
        <v>240</v>
      </c>
      <c r="E25" s="1" t="s">
        <v>121</v>
      </c>
      <c r="F25" s="1" t="s">
        <v>120</v>
      </c>
      <c r="G25" s="1" t="s">
        <v>261</v>
      </c>
      <c r="H25" s="12">
        <v>0.52</v>
      </c>
      <c r="I25" s="1" t="s">
        <v>340</v>
      </c>
      <c r="J25" s="11">
        <v>11.3</v>
      </c>
      <c r="K25" s="1" t="s">
        <v>89</v>
      </c>
      <c r="L25" s="1">
        <v>2</v>
      </c>
      <c r="M25" s="1">
        <v>6</v>
      </c>
      <c r="N25" s="1">
        <v>1994</v>
      </c>
      <c r="O25" s="1">
        <v>1997</v>
      </c>
      <c r="P25" s="11">
        <v>1997</v>
      </c>
      <c r="Q25" s="11">
        <v>2003</v>
      </c>
      <c r="R25" s="1">
        <f t="shared" si="0"/>
        <v>0</v>
      </c>
    </row>
    <row r="26" spans="1:18" x14ac:dyDescent="0.2">
      <c r="B26" s="1">
        <v>24</v>
      </c>
      <c r="C26" s="1" t="s">
        <v>351</v>
      </c>
      <c r="D26" s="1" t="s">
        <v>258</v>
      </c>
      <c r="E26" s="1" t="s">
        <v>121</v>
      </c>
      <c r="F26" s="1" t="s">
        <v>120</v>
      </c>
      <c r="G26" s="1" t="s">
        <v>261</v>
      </c>
      <c r="I26" s="1" t="s">
        <v>340</v>
      </c>
      <c r="J26" s="11">
        <v>20.8</v>
      </c>
      <c r="K26" s="1" t="s">
        <v>89</v>
      </c>
      <c r="L26" s="1">
        <v>1</v>
      </c>
      <c r="M26" s="1">
        <v>3</v>
      </c>
      <c r="N26" s="1">
        <v>1999</v>
      </c>
      <c r="O26" s="1">
        <v>2000</v>
      </c>
      <c r="P26" s="11">
        <v>2004</v>
      </c>
      <c r="Q26" s="11">
        <v>2005</v>
      </c>
      <c r="R26" s="1">
        <f t="shared" si="0"/>
        <v>4</v>
      </c>
    </row>
    <row r="27" spans="1:18" x14ac:dyDescent="0.2">
      <c r="B27" s="1">
        <v>25</v>
      </c>
      <c r="C27" s="1" t="s">
        <v>269</v>
      </c>
      <c r="D27" s="1" t="s">
        <v>240</v>
      </c>
      <c r="E27" s="1" t="s">
        <v>128</v>
      </c>
      <c r="F27" s="1" t="s">
        <v>127</v>
      </c>
      <c r="G27" s="1" t="s">
        <v>268</v>
      </c>
      <c r="I27" s="1" t="s">
        <v>339</v>
      </c>
      <c r="J27" s="11">
        <v>15</v>
      </c>
      <c r="K27" s="1" t="s">
        <v>89</v>
      </c>
      <c r="L27" s="1">
        <v>1</v>
      </c>
      <c r="M27" s="1">
        <v>3</v>
      </c>
      <c r="N27" s="1">
        <v>1994</v>
      </c>
      <c r="O27" s="1">
        <v>1994</v>
      </c>
      <c r="P27" s="11">
        <v>1997</v>
      </c>
      <c r="Q27" s="11">
        <v>1999</v>
      </c>
      <c r="R27" s="1">
        <f t="shared" si="0"/>
        <v>3</v>
      </c>
    </row>
    <row r="28" spans="1:18" x14ac:dyDescent="0.2">
      <c r="A28" s="1" t="s">
        <v>125</v>
      </c>
      <c r="B28" s="1">
        <v>26</v>
      </c>
      <c r="C28" s="1" t="s">
        <v>126</v>
      </c>
      <c r="D28" s="1" t="s">
        <v>241</v>
      </c>
      <c r="E28" s="1" t="s">
        <v>128</v>
      </c>
      <c r="F28" s="1" t="s">
        <v>127</v>
      </c>
      <c r="G28" s="1" t="s">
        <v>268</v>
      </c>
      <c r="H28" s="12">
        <v>0.8</v>
      </c>
      <c r="I28" s="1" t="s">
        <v>339</v>
      </c>
      <c r="J28" s="11">
        <v>10.6</v>
      </c>
      <c r="K28" s="1" t="s">
        <v>130</v>
      </c>
      <c r="L28" s="1">
        <v>1</v>
      </c>
      <c r="M28" s="1">
        <v>3</v>
      </c>
      <c r="N28" s="1">
        <v>2005</v>
      </c>
      <c r="O28" s="1">
        <v>2007</v>
      </c>
      <c r="P28" s="11">
        <v>2009</v>
      </c>
      <c r="Q28" s="11">
        <v>2012</v>
      </c>
      <c r="R28" s="1">
        <f t="shared" si="0"/>
        <v>2</v>
      </c>
    </row>
    <row r="29" spans="1:18" x14ac:dyDescent="0.2">
      <c r="A29" s="1" t="s">
        <v>132</v>
      </c>
      <c r="B29" s="1">
        <v>27</v>
      </c>
      <c r="C29" s="1" t="s">
        <v>133</v>
      </c>
      <c r="D29" s="1" t="s">
        <v>240</v>
      </c>
      <c r="E29" s="1" t="s">
        <v>128</v>
      </c>
      <c r="F29" s="1" t="s">
        <v>127</v>
      </c>
      <c r="G29" s="1" t="s">
        <v>268</v>
      </c>
      <c r="H29" s="12">
        <v>0.54</v>
      </c>
      <c r="I29" s="1" t="s">
        <v>339</v>
      </c>
      <c r="J29" s="11">
        <v>8.6</v>
      </c>
      <c r="K29" s="1" t="s">
        <v>89</v>
      </c>
      <c r="L29" s="1">
        <v>2</v>
      </c>
      <c r="M29" s="1">
        <v>5</v>
      </c>
      <c r="N29" s="1">
        <v>2009</v>
      </c>
      <c r="O29" s="1">
        <v>2010</v>
      </c>
      <c r="P29" s="11">
        <v>2010</v>
      </c>
      <c r="Q29" s="11">
        <v>2013</v>
      </c>
      <c r="R29" s="1">
        <f t="shared" si="0"/>
        <v>0</v>
      </c>
    </row>
    <row r="30" spans="1:18" x14ac:dyDescent="0.2">
      <c r="A30" s="1" t="s">
        <v>137</v>
      </c>
      <c r="B30" s="1">
        <v>28</v>
      </c>
      <c r="C30" s="1" t="s">
        <v>328</v>
      </c>
      <c r="D30" s="1" t="s">
        <v>241</v>
      </c>
      <c r="E30" s="1" t="s">
        <v>128</v>
      </c>
      <c r="F30" s="1" t="s">
        <v>127</v>
      </c>
      <c r="G30" s="1" t="s">
        <v>268</v>
      </c>
      <c r="H30" s="12">
        <v>0.63</v>
      </c>
      <c r="I30" s="1" t="s">
        <v>340</v>
      </c>
      <c r="J30" s="11">
        <v>1.53</v>
      </c>
      <c r="K30" s="1" t="s">
        <v>345</v>
      </c>
      <c r="L30" s="1">
        <v>1</v>
      </c>
      <c r="M30" s="1">
        <v>3</v>
      </c>
      <c r="N30" s="1">
        <v>1997</v>
      </c>
      <c r="O30" s="1">
        <v>1999</v>
      </c>
      <c r="P30" s="11" t="s">
        <v>309</v>
      </c>
      <c r="Q30" s="11" t="s">
        <v>310</v>
      </c>
      <c r="R30" s="1" t="e">
        <f>P30-O30</f>
        <v>#VALUE!</v>
      </c>
    </row>
    <row r="31" spans="1:18" x14ac:dyDescent="0.2">
      <c r="A31" s="1" t="s">
        <v>142</v>
      </c>
      <c r="B31" s="1">
        <v>29</v>
      </c>
      <c r="C31" s="1" t="s">
        <v>329</v>
      </c>
      <c r="D31" s="1" t="s">
        <v>277</v>
      </c>
      <c r="E31" s="1" t="s">
        <v>121</v>
      </c>
      <c r="F31" s="1" t="s">
        <v>144</v>
      </c>
      <c r="G31" s="1" t="s">
        <v>279</v>
      </c>
      <c r="H31" s="12">
        <v>0.61</v>
      </c>
      <c r="I31" s="1" t="s">
        <v>340</v>
      </c>
      <c r="J31" s="11">
        <v>11.1</v>
      </c>
      <c r="K31" s="1" t="s">
        <v>89</v>
      </c>
      <c r="L31" s="1">
        <v>2</v>
      </c>
      <c r="M31" s="1">
        <v>7</v>
      </c>
      <c r="N31" s="1">
        <v>1985</v>
      </c>
      <c r="O31" s="1">
        <v>1986</v>
      </c>
      <c r="P31" s="11">
        <v>1986</v>
      </c>
      <c r="Q31" s="11">
        <v>1989</v>
      </c>
      <c r="R31" s="1">
        <f t="shared" si="0"/>
        <v>0</v>
      </c>
    </row>
    <row r="32" spans="1:18" s="14" customFormat="1" x14ac:dyDescent="0.2">
      <c r="B32" s="14">
        <v>30</v>
      </c>
      <c r="C32" s="14" t="s">
        <v>330</v>
      </c>
      <c r="D32" s="14" t="s">
        <v>242</v>
      </c>
      <c r="E32" s="14" t="s">
        <v>121</v>
      </c>
      <c r="F32" s="14" t="s">
        <v>144</v>
      </c>
      <c r="G32" s="14" t="s">
        <v>279</v>
      </c>
      <c r="H32" s="15"/>
      <c r="I32" s="14" t="s">
        <v>340</v>
      </c>
      <c r="J32" s="16">
        <v>5.9</v>
      </c>
      <c r="K32" s="14" t="s">
        <v>117</v>
      </c>
      <c r="L32" s="14">
        <v>1</v>
      </c>
      <c r="M32" s="14">
        <v>2</v>
      </c>
      <c r="N32" s="14">
        <v>1997</v>
      </c>
      <c r="O32" s="14">
        <v>1998</v>
      </c>
      <c r="P32" s="16">
        <v>2003</v>
      </c>
      <c r="Q32" s="16">
        <v>2005</v>
      </c>
      <c r="R32" s="14">
        <f t="shared" si="0"/>
        <v>5</v>
      </c>
    </row>
    <row r="33" spans="1:18" s="14" customFormat="1" x14ac:dyDescent="0.2">
      <c r="B33" s="14">
        <v>31</v>
      </c>
      <c r="C33" s="14" t="s">
        <v>331</v>
      </c>
      <c r="D33" s="14" t="s">
        <v>240</v>
      </c>
      <c r="E33" s="14" t="s">
        <v>121</v>
      </c>
      <c r="F33" s="14" t="s">
        <v>144</v>
      </c>
      <c r="G33" s="14" t="s">
        <v>279</v>
      </c>
      <c r="H33" s="15"/>
      <c r="I33" s="14" t="s">
        <v>340</v>
      </c>
      <c r="J33" s="16">
        <v>10.9</v>
      </c>
      <c r="K33" s="14" t="s">
        <v>89</v>
      </c>
      <c r="L33" s="14">
        <v>1</v>
      </c>
      <c r="M33" s="14">
        <v>3</v>
      </c>
      <c r="N33" s="14">
        <v>2000</v>
      </c>
      <c r="O33" s="14">
        <v>2001</v>
      </c>
      <c r="P33" s="16">
        <v>2016</v>
      </c>
      <c r="Q33" s="16">
        <v>2021</v>
      </c>
      <c r="R33" s="14">
        <f t="shared" si="0"/>
        <v>15</v>
      </c>
    </row>
    <row r="34" spans="1:18" x14ac:dyDescent="0.2">
      <c r="A34" s="1" t="s">
        <v>147</v>
      </c>
      <c r="B34" s="1">
        <v>32</v>
      </c>
      <c r="C34" s="1" t="s">
        <v>148</v>
      </c>
      <c r="D34" s="1" t="s">
        <v>281</v>
      </c>
      <c r="E34" s="1" t="s">
        <v>121</v>
      </c>
      <c r="F34" s="1" t="s">
        <v>149</v>
      </c>
      <c r="G34" s="1" t="s">
        <v>338</v>
      </c>
      <c r="H34" s="12">
        <v>0.48</v>
      </c>
      <c r="I34" s="1" t="s">
        <v>340</v>
      </c>
      <c r="J34" s="11">
        <v>8.6999999999999993</v>
      </c>
      <c r="K34" s="1" t="s">
        <v>344</v>
      </c>
      <c r="L34" s="1">
        <v>2</v>
      </c>
      <c r="M34" s="1">
        <v>6</v>
      </c>
      <c r="N34" s="1">
        <v>1992</v>
      </c>
      <c r="O34" s="1">
        <v>1996</v>
      </c>
      <c r="P34" s="11">
        <v>1997</v>
      </c>
      <c r="Q34" s="11">
        <v>2003</v>
      </c>
      <c r="R34" s="1">
        <f t="shared" si="0"/>
        <v>1</v>
      </c>
    </row>
    <row r="35" spans="1:18" x14ac:dyDescent="0.2">
      <c r="B35" s="1">
        <v>33</v>
      </c>
      <c r="C35" s="1" t="s">
        <v>332</v>
      </c>
      <c r="D35" s="1" t="s">
        <v>283</v>
      </c>
      <c r="E35" s="1" t="s">
        <v>121</v>
      </c>
      <c r="F35" s="1" t="s">
        <v>149</v>
      </c>
      <c r="G35" s="1" t="s">
        <v>284</v>
      </c>
      <c r="I35" s="1" t="s">
        <v>340</v>
      </c>
      <c r="J35" s="11">
        <v>5.4</v>
      </c>
      <c r="K35" s="1" t="s">
        <v>89</v>
      </c>
      <c r="L35" s="1">
        <v>2</v>
      </c>
      <c r="M35" s="1">
        <v>4</v>
      </c>
      <c r="N35" s="1">
        <v>1998</v>
      </c>
      <c r="O35" s="1">
        <v>1998</v>
      </c>
      <c r="P35" s="11">
        <v>2005</v>
      </c>
      <c r="Q35" s="11">
        <v>2007</v>
      </c>
      <c r="R35" s="1">
        <f t="shared" si="0"/>
        <v>7</v>
      </c>
    </row>
    <row r="36" spans="1:18" s="14" customFormat="1" x14ac:dyDescent="0.2">
      <c r="B36" s="14">
        <v>34</v>
      </c>
      <c r="C36" s="14" t="s">
        <v>333</v>
      </c>
      <c r="D36" s="14" t="s">
        <v>283</v>
      </c>
      <c r="E36" s="14" t="s">
        <v>121</v>
      </c>
      <c r="F36" s="14" t="s">
        <v>149</v>
      </c>
      <c r="G36" s="14" t="s">
        <v>284</v>
      </c>
      <c r="H36" s="15"/>
      <c r="I36" s="14" t="s">
        <v>340</v>
      </c>
      <c r="J36" s="16">
        <v>7</v>
      </c>
      <c r="K36" s="14" t="s">
        <v>89</v>
      </c>
      <c r="L36" s="14">
        <v>1</v>
      </c>
      <c r="M36" s="14">
        <v>3</v>
      </c>
      <c r="N36" s="14">
        <v>2008</v>
      </c>
      <c r="O36" s="14">
        <v>2008</v>
      </c>
      <c r="P36" s="16">
        <v>2016</v>
      </c>
      <c r="Q36" s="16">
        <v>2019</v>
      </c>
      <c r="R36" s="14">
        <f t="shared" si="0"/>
        <v>8</v>
      </c>
    </row>
    <row r="37" spans="1:18" x14ac:dyDescent="0.2">
      <c r="A37" s="1" t="s">
        <v>157</v>
      </c>
      <c r="B37" s="1">
        <v>35</v>
      </c>
      <c r="C37" s="1" t="s">
        <v>334</v>
      </c>
      <c r="D37" s="1" t="s">
        <v>242</v>
      </c>
      <c r="E37" s="1" t="s">
        <v>121</v>
      </c>
      <c r="F37" s="1" t="s">
        <v>159</v>
      </c>
      <c r="G37" s="1" t="s">
        <v>291</v>
      </c>
      <c r="H37" s="12">
        <v>0.68</v>
      </c>
      <c r="I37" s="1" t="s">
        <v>339</v>
      </c>
      <c r="J37" s="11">
        <v>20</v>
      </c>
      <c r="K37" s="1" t="s">
        <v>344</v>
      </c>
      <c r="L37" s="1">
        <v>2</v>
      </c>
      <c r="M37" s="1">
        <v>7</v>
      </c>
      <c r="N37" s="1">
        <v>1981</v>
      </c>
      <c r="O37" s="1">
        <v>1983</v>
      </c>
      <c r="P37" s="11">
        <v>1984</v>
      </c>
      <c r="Q37" s="11">
        <v>1991</v>
      </c>
      <c r="R37" s="1">
        <f t="shared" si="0"/>
        <v>1</v>
      </c>
    </row>
    <row r="38" spans="1:18" s="14" customFormat="1" x14ac:dyDescent="0.2">
      <c r="A38" s="14" t="s">
        <v>163</v>
      </c>
      <c r="B38" s="14">
        <v>36</v>
      </c>
      <c r="C38" s="14" t="s">
        <v>164</v>
      </c>
      <c r="D38" s="14" t="s">
        <v>242</v>
      </c>
      <c r="E38" s="14" t="s">
        <v>121</v>
      </c>
      <c r="F38" s="14" t="s">
        <v>165</v>
      </c>
      <c r="G38" s="14" t="s">
        <v>291</v>
      </c>
      <c r="H38" s="15">
        <v>0.75</v>
      </c>
      <c r="I38" s="14" t="s">
        <v>340</v>
      </c>
      <c r="J38" s="16">
        <v>7.6</v>
      </c>
      <c r="K38" s="14" t="s">
        <v>89</v>
      </c>
      <c r="L38" s="14">
        <v>2</v>
      </c>
      <c r="M38" s="14">
        <v>6</v>
      </c>
      <c r="N38" s="14">
        <v>1991</v>
      </c>
      <c r="O38" s="14">
        <v>1992</v>
      </c>
      <c r="P38" s="16">
        <v>1996</v>
      </c>
      <c r="Q38" s="16">
        <v>1999</v>
      </c>
      <c r="R38" s="14">
        <f t="shared" si="0"/>
        <v>4</v>
      </c>
    </row>
    <row r="39" spans="1:18" x14ac:dyDescent="0.2">
      <c r="B39" s="1">
        <v>37</v>
      </c>
      <c r="C39" s="1" t="s">
        <v>292</v>
      </c>
      <c r="D39" s="1" t="s">
        <v>242</v>
      </c>
      <c r="E39" s="1" t="s">
        <v>121</v>
      </c>
      <c r="F39" s="1" t="s">
        <v>165</v>
      </c>
      <c r="G39" s="1" t="s">
        <v>291</v>
      </c>
      <c r="I39" s="1" t="s">
        <v>340</v>
      </c>
      <c r="J39" s="11">
        <v>6.8</v>
      </c>
      <c r="K39" s="1" t="s">
        <v>89</v>
      </c>
      <c r="L39" s="1">
        <v>2</v>
      </c>
      <c r="M39" s="1">
        <v>5</v>
      </c>
      <c r="N39" s="1">
        <v>1999</v>
      </c>
      <c r="O39" s="1">
        <v>2000</v>
      </c>
      <c r="P39" s="11">
        <v>2001</v>
      </c>
      <c r="Q39" s="11">
        <v>2005</v>
      </c>
      <c r="R39" s="1">
        <f t="shared" si="0"/>
        <v>1</v>
      </c>
    </row>
    <row r="40" spans="1:18" s="14" customFormat="1" x14ac:dyDescent="0.2">
      <c r="B40" s="14">
        <v>38</v>
      </c>
      <c r="C40" s="14" t="s">
        <v>293</v>
      </c>
      <c r="D40" s="14" t="s">
        <v>277</v>
      </c>
      <c r="E40" s="14" t="s">
        <v>121</v>
      </c>
      <c r="F40" s="14" t="s">
        <v>165</v>
      </c>
      <c r="G40" s="14" t="s">
        <v>291</v>
      </c>
      <c r="H40" s="15"/>
      <c r="I40" s="14" t="s">
        <v>340</v>
      </c>
      <c r="J40" s="16">
        <v>8.1999999999999993</v>
      </c>
      <c r="K40" s="14" t="s">
        <v>89</v>
      </c>
      <c r="L40" s="14">
        <v>2</v>
      </c>
      <c r="M40" s="14">
        <v>3</v>
      </c>
      <c r="N40" s="14">
        <v>1998</v>
      </c>
      <c r="O40" s="14">
        <v>1999</v>
      </c>
      <c r="P40" s="16">
        <v>2003</v>
      </c>
      <c r="Q40" s="16">
        <v>2004</v>
      </c>
      <c r="R40" s="14">
        <f t="shared" si="0"/>
        <v>4</v>
      </c>
    </row>
    <row r="41" spans="1:18" s="14" customFormat="1" x14ac:dyDescent="0.2">
      <c r="A41" s="14" t="s">
        <v>167</v>
      </c>
      <c r="B41" s="14">
        <v>39</v>
      </c>
      <c r="C41" s="14" t="s">
        <v>168</v>
      </c>
      <c r="D41" s="14" t="s">
        <v>299</v>
      </c>
      <c r="E41" s="14" t="s">
        <v>170</v>
      </c>
      <c r="F41" s="14" t="s">
        <v>169</v>
      </c>
      <c r="G41" s="14" t="s">
        <v>289</v>
      </c>
      <c r="H41" s="15">
        <v>0.2</v>
      </c>
      <c r="I41" s="14" t="s">
        <v>339</v>
      </c>
      <c r="J41" s="16">
        <v>15.6</v>
      </c>
      <c r="K41" s="14" t="s">
        <v>89</v>
      </c>
      <c r="L41" s="14">
        <v>2</v>
      </c>
      <c r="M41" s="14">
        <v>7</v>
      </c>
      <c r="N41" s="14">
        <v>1997</v>
      </c>
      <c r="O41" s="14">
        <v>1999</v>
      </c>
      <c r="P41" s="16">
        <v>2003</v>
      </c>
      <c r="Q41" s="16">
        <v>2009</v>
      </c>
      <c r="R41" s="14">
        <f t="shared" si="0"/>
        <v>4</v>
      </c>
    </row>
    <row r="42" spans="1:18" x14ac:dyDescent="0.2">
      <c r="A42" s="1" t="s">
        <v>171</v>
      </c>
      <c r="B42" s="1">
        <v>40</v>
      </c>
      <c r="C42" s="1" t="s">
        <v>172</v>
      </c>
      <c r="D42" s="1" t="s">
        <v>241</v>
      </c>
      <c r="E42" s="1" t="s">
        <v>174</v>
      </c>
      <c r="F42" s="1" t="s">
        <v>173</v>
      </c>
      <c r="G42" s="1" t="s">
        <v>302</v>
      </c>
      <c r="H42" s="12">
        <v>0.92</v>
      </c>
      <c r="I42" s="1" t="s">
        <v>340</v>
      </c>
      <c r="J42" s="11">
        <v>17</v>
      </c>
      <c r="K42" s="1" t="s">
        <v>89</v>
      </c>
      <c r="L42" s="1">
        <v>2</v>
      </c>
      <c r="M42" s="1">
        <v>5</v>
      </c>
      <c r="N42" s="1">
        <v>2005</v>
      </c>
      <c r="O42" s="1">
        <v>1996</v>
      </c>
      <c r="P42" s="11">
        <v>1996</v>
      </c>
      <c r="Q42" s="11">
        <v>2001</v>
      </c>
      <c r="R42" s="1">
        <f t="shared" si="0"/>
        <v>0</v>
      </c>
    </row>
    <row r="43" spans="1:18" s="14" customFormat="1" x14ac:dyDescent="0.2">
      <c r="A43" s="14" t="s">
        <v>175</v>
      </c>
      <c r="B43" s="14">
        <v>41</v>
      </c>
      <c r="C43" s="14" t="s">
        <v>335</v>
      </c>
      <c r="D43" s="14" t="s">
        <v>241</v>
      </c>
      <c r="E43" s="14" t="s">
        <v>174</v>
      </c>
      <c r="F43" s="14" t="s">
        <v>178</v>
      </c>
      <c r="G43" s="14" t="s">
        <v>302</v>
      </c>
      <c r="H43" s="15">
        <v>0.75</v>
      </c>
      <c r="I43" s="14" t="s">
        <v>339</v>
      </c>
      <c r="J43" s="16">
        <v>18</v>
      </c>
      <c r="K43" s="14" t="s">
        <v>306</v>
      </c>
      <c r="L43" s="14">
        <v>2</v>
      </c>
      <c r="M43" s="14">
        <v>6</v>
      </c>
      <c r="N43" s="14">
        <v>1984</v>
      </c>
      <c r="O43" s="14">
        <v>1987</v>
      </c>
      <c r="P43" s="16">
        <v>1993</v>
      </c>
      <c r="Q43" s="16">
        <v>1995</v>
      </c>
      <c r="R43" s="14">
        <f t="shared" si="0"/>
        <v>6</v>
      </c>
    </row>
    <row r="44" spans="1:18" x14ac:dyDescent="0.2">
      <c r="A44" s="1" t="s">
        <v>184</v>
      </c>
      <c r="B44" s="1">
        <v>42</v>
      </c>
      <c r="C44" s="1" t="s">
        <v>185</v>
      </c>
      <c r="D44" s="1" t="s">
        <v>304</v>
      </c>
      <c r="E44" s="1" t="s">
        <v>187</v>
      </c>
      <c r="F44" s="1" t="s">
        <v>186</v>
      </c>
      <c r="G44" s="1" t="s">
        <v>303</v>
      </c>
      <c r="H44" s="12">
        <v>0.43</v>
      </c>
      <c r="I44" s="1" t="s">
        <v>340</v>
      </c>
      <c r="J44" s="11">
        <v>9.8000000000000007</v>
      </c>
      <c r="K44" s="1" t="s">
        <v>89</v>
      </c>
      <c r="L44" s="1">
        <v>1</v>
      </c>
      <c r="M44" s="1">
        <v>3</v>
      </c>
      <c r="N44" s="1">
        <v>2002</v>
      </c>
      <c r="O44" s="1">
        <v>2003</v>
      </c>
      <c r="P44" s="11">
        <v>2005</v>
      </c>
      <c r="Q44" s="11">
        <v>2008</v>
      </c>
      <c r="R44" s="1">
        <f t="shared" si="0"/>
        <v>2</v>
      </c>
    </row>
    <row r="45" spans="1:18" x14ac:dyDescent="0.2">
      <c r="B45" s="1">
        <v>43</v>
      </c>
      <c r="C45" s="1" t="s">
        <v>336</v>
      </c>
      <c r="D45" s="1" t="s">
        <v>304</v>
      </c>
      <c r="E45" s="1" t="s">
        <v>187</v>
      </c>
      <c r="F45" s="1" t="s">
        <v>186</v>
      </c>
      <c r="G45" s="1" t="s">
        <v>303</v>
      </c>
      <c r="I45" s="1" t="s">
        <v>340</v>
      </c>
      <c r="J45" s="11">
        <v>9.6</v>
      </c>
      <c r="K45" s="1" t="s">
        <v>89</v>
      </c>
      <c r="L45" s="1">
        <v>1</v>
      </c>
      <c r="M45" s="1">
        <v>4</v>
      </c>
      <c r="N45" s="1">
        <v>2010</v>
      </c>
      <c r="O45" s="1">
        <v>2010</v>
      </c>
      <c r="P45" s="11">
        <v>2013</v>
      </c>
      <c r="Q45" s="11">
        <v>2018</v>
      </c>
      <c r="R45" s="1">
        <f t="shared" si="0"/>
        <v>3</v>
      </c>
    </row>
    <row r="47" spans="1:18" x14ac:dyDescent="0.2">
      <c r="A47" s="9"/>
    </row>
  </sheetData>
  <mergeCells count="1">
    <mergeCell ref="N1:Q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B788C-436B-5B4D-9516-4C07879D220F}">
  <dimension ref="A1:C16"/>
  <sheetViews>
    <sheetView topLeftCell="A9" workbookViewId="0">
      <selection activeCell="F2" sqref="F2"/>
    </sheetView>
  </sheetViews>
  <sheetFormatPr baseColWidth="10" defaultRowHeight="16" x14ac:dyDescent="0.2"/>
  <cols>
    <col min="1" max="1" width="10.83203125" style="13"/>
    <col min="2" max="2" width="21" style="7" bestFit="1" customWidth="1"/>
    <col min="3" max="3" width="72.83203125" style="7" bestFit="1" customWidth="1"/>
    <col min="4" max="16384" width="10.83203125" style="7"/>
  </cols>
  <sheetData>
    <row r="1" spans="1:3" ht="85" x14ac:dyDescent="0.2">
      <c r="A1" s="39" t="s">
        <v>353</v>
      </c>
      <c r="B1" s="7" t="s">
        <v>354</v>
      </c>
      <c r="C1" s="3" t="s">
        <v>355</v>
      </c>
    </row>
    <row r="2" spans="1:3" ht="136" x14ac:dyDescent="0.2">
      <c r="A2" s="39"/>
      <c r="B2" s="13" t="s">
        <v>356</v>
      </c>
      <c r="C2" s="3" t="s">
        <v>357</v>
      </c>
    </row>
    <row r="3" spans="1:3" ht="102" x14ac:dyDescent="0.2">
      <c r="A3" s="40" t="s">
        <v>358</v>
      </c>
      <c r="B3" s="13" t="s">
        <v>359</v>
      </c>
      <c r="C3" s="3" t="s">
        <v>360</v>
      </c>
    </row>
    <row r="4" spans="1:3" ht="119" x14ac:dyDescent="0.2">
      <c r="A4" s="40"/>
      <c r="B4" s="7" t="s">
        <v>361</v>
      </c>
      <c r="C4" s="13" t="s">
        <v>362</v>
      </c>
    </row>
    <row r="5" spans="1:3" ht="34" x14ac:dyDescent="0.2">
      <c r="A5" s="40"/>
      <c r="B5" s="7" t="s">
        <v>363</v>
      </c>
      <c r="C5" s="13" t="s">
        <v>364</v>
      </c>
    </row>
    <row r="6" spans="1:3" ht="85" x14ac:dyDescent="0.2">
      <c r="A6" s="40"/>
      <c r="B6" s="7" t="s">
        <v>365</v>
      </c>
      <c r="C6" s="13" t="s">
        <v>366</v>
      </c>
    </row>
    <row r="7" spans="1:3" ht="34" x14ac:dyDescent="0.2">
      <c r="A7" s="40"/>
      <c r="B7" s="7" t="s">
        <v>367</v>
      </c>
      <c r="C7" s="13" t="s">
        <v>368</v>
      </c>
    </row>
    <row r="8" spans="1:3" ht="34" x14ac:dyDescent="0.2">
      <c r="A8" s="40"/>
      <c r="B8" s="7" t="s">
        <v>369</v>
      </c>
      <c r="C8" s="13" t="s">
        <v>370</v>
      </c>
    </row>
    <row r="9" spans="1:3" ht="68" x14ac:dyDescent="0.2">
      <c r="A9" s="40"/>
      <c r="B9" s="7" t="s">
        <v>371</v>
      </c>
      <c r="C9" s="13" t="s">
        <v>372</v>
      </c>
    </row>
    <row r="10" spans="1:3" ht="68" x14ac:dyDescent="0.2">
      <c r="A10" s="40"/>
      <c r="B10" s="7" t="s">
        <v>373</v>
      </c>
      <c r="C10" s="13" t="s">
        <v>374</v>
      </c>
    </row>
    <row r="11" spans="1:3" ht="34" x14ac:dyDescent="0.2">
      <c r="A11" s="40"/>
      <c r="B11" s="7" t="s">
        <v>375</v>
      </c>
      <c r="C11" s="13" t="s">
        <v>376</v>
      </c>
    </row>
    <row r="12" spans="1:3" x14ac:dyDescent="0.2">
      <c r="A12" s="40"/>
      <c r="B12" s="7" t="s">
        <v>377</v>
      </c>
    </row>
    <row r="13" spans="1:3" ht="85" x14ac:dyDescent="0.2">
      <c r="A13" s="40"/>
      <c r="B13" s="7" t="s">
        <v>378</v>
      </c>
      <c r="C13" s="13" t="s">
        <v>379</v>
      </c>
    </row>
    <row r="14" spans="1:3" ht="51" x14ac:dyDescent="0.2">
      <c r="A14" s="40" t="s">
        <v>380</v>
      </c>
      <c r="B14" s="7" t="s">
        <v>381</v>
      </c>
      <c r="C14" s="13" t="s">
        <v>382</v>
      </c>
    </row>
    <row r="15" spans="1:3" ht="34" x14ac:dyDescent="0.2">
      <c r="A15" s="40"/>
      <c r="B15" s="7" t="s">
        <v>383</v>
      </c>
      <c r="C15" s="13" t="s">
        <v>384</v>
      </c>
    </row>
    <row r="16" spans="1:3" x14ac:dyDescent="0.2">
      <c r="A16" s="3"/>
    </row>
  </sheetData>
  <mergeCells count="3">
    <mergeCell ref="A1:A2"/>
    <mergeCell ref="A3:A13"/>
    <mergeCell ref="A14:A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7F8A3-8B39-2C43-B508-F1BB123AC0D1}">
  <dimension ref="A1:Q14"/>
  <sheetViews>
    <sheetView workbookViewId="0">
      <selection activeCell="I30" sqref="I30"/>
    </sheetView>
  </sheetViews>
  <sheetFormatPr baseColWidth="10" defaultRowHeight="16" x14ac:dyDescent="0.2"/>
  <cols>
    <col min="1" max="1" width="4.5" style="1" customWidth="1"/>
    <col min="2" max="2" width="28" style="1" bestFit="1" customWidth="1"/>
    <col min="3" max="3" width="15" style="1" bestFit="1" customWidth="1"/>
    <col min="4" max="4" width="6.5" style="1" bestFit="1" customWidth="1"/>
    <col min="5" max="5" width="18.1640625" style="1" bestFit="1" customWidth="1"/>
    <col min="6" max="6" width="29.6640625" style="1" bestFit="1" customWidth="1"/>
    <col min="7" max="7" width="13" style="12" bestFit="1" customWidth="1"/>
    <col min="8" max="8" width="6.1640625" style="1" bestFit="1" customWidth="1"/>
    <col min="9" max="9" width="16" style="11" bestFit="1" customWidth="1"/>
    <col min="10" max="10" width="25.5" style="1" bestFit="1" customWidth="1"/>
    <col min="11" max="11" width="7.1640625" style="1" bestFit="1" customWidth="1"/>
    <col min="12" max="12" width="12.5" style="1" bestFit="1" customWidth="1"/>
    <col min="13" max="14" width="10.83203125" style="1"/>
    <col min="15" max="15" width="14.83203125" style="11" bestFit="1" customWidth="1"/>
    <col min="16" max="16" width="13.83203125" style="11" bestFit="1" customWidth="1"/>
    <col min="17" max="16384" width="10.83203125" style="1"/>
  </cols>
  <sheetData>
    <row r="1" spans="1:17" customFormat="1" x14ac:dyDescent="0.2">
      <c r="M1" s="38" t="s">
        <v>7</v>
      </c>
      <c r="N1" s="38"/>
      <c r="O1" s="38"/>
      <c r="P1" s="38"/>
    </row>
    <row r="2" spans="1:17" customFormat="1" x14ac:dyDescent="0.2">
      <c r="A2" t="s">
        <v>347</v>
      </c>
      <c r="B2" t="s">
        <v>238</v>
      </c>
      <c r="C2" t="s">
        <v>239</v>
      </c>
      <c r="D2" t="s">
        <v>12</v>
      </c>
      <c r="E2" t="s">
        <v>11</v>
      </c>
      <c r="F2" t="s">
        <v>214</v>
      </c>
      <c r="G2" t="s">
        <v>337</v>
      </c>
      <c r="H2" t="s">
        <v>14</v>
      </c>
      <c r="I2" t="s">
        <v>15</v>
      </c>
      <c r="J2" t="s">
        <v>385</v>
      </c>
      <c r="K2" t="s">
        <v>386</v>
      </c>
      <c r="L2" t="s">
        <v>346</v>
      </c>
      <c r="M2" t="s">
        <v>26</v>
      </c>
      <c r="N2" t="s">
        <v>28</v>
      </c>
      <c r="O2" t="s">
        <v>312</v>
      </c>
      <c r="P2" t="s">
        <v>311</v>
      </c>
    </row>
    <row r="3" spans="1:17" x14ac:dyDescent="0.2">
      <c r="A3" s="1">
        <v>2</v>
      </c>
      <c r="B3" s="1" t="s">
        <v>325</v>
      </c>
      <c r="C3" s="1" t="s">
        <v>295</v>
      </c>
      <c r="D3" s="1" t="s">
        <v>37</v>
      </c>
      <c r="E3" s="1" t="s">
        <v>36</v>
      </c>
      <c r="F3" s="1" t="s">
        <v>220</v>
      </c>
      <c r="G3" s="12">
        <v>0.75</v>
      </c>
      <c r="H3" s="1" t="s">
        <v>340</v>
      </c>
      <c r="I3" s="11">
        <v>3.2</v>
      </c>
      <c r="J3" s="1" t="s">
        <v>89</v>
      </c>
      <c r="K3" s="1">
        <v>1</v>
      </c>
      <c r="L3" s="1">
        <v>3</v>
      </c>
      <c r="M3" s="1">
        <v>1988</v>
      </c>
      <c r="N3" s="1">
        <v>1989</v>
      </c>
      <c r="O3" s="11">
        <v>1994</v>
      </c>
      <c r="P3" s="11">
        <v>1997</v>
      </c>
      <c r="Q3" s="1">
        <f t="shared" ref="Q3:Q14" si="0">O3-N3</f>
        <v>5</v>
      </c>
    </row>
    <row r="4" spans="1:17" x14ac:dyDescent="0.2">
      <c r="A4" s="1">
        <v>4</v>
      </c>
      <c r="B4" s="1" t="s">
        <v>314</v>
      </c>
      <c r="C4" s="1" t="s">
        <v>241</v>
      </c>
      <c r="D4" s="1" t="s">
        <v>50</v>
      </c>
      <c r="E4" s="1" t="s">
        <v>49</v>
      </c>
      <c r="F4" s="1" t="s">
        <v>215</v>
      </c>
      <c r="H4" s="1" t="s">
        <v>340</v>
      </c>
      <c r="I4" s="11">
        <v>6</v>
      </c>
      <c r="J4" s="1" t="s">
        <v>89</v>
      </c>
      <c r="K4" s="1">
        <v>1</v>
      </c>
      <c r="L4" s="1">
        <v>3</v>
      </c>
      <c r="M4" s="1">
        <v>1996</v>
      </c>
      <c r="N4" s="1">
        <v>1997</v>
      </c>
      <c r="O4" s="11">
        <v>2001</v>
      </c>
      <c r="P4" s="11">
        <v>2002</v>
      </c>
      <c r="Q4" s="1">
        <f t="shared" si="0"/>
        <v>4</v>
      </c>
    </row>
    <row r="5" spans="1:17" x14ac:dyDescent="0.2">
      <c r="A5" s="1">
        <v>5</v>
      </c>
      <c r="B5" s="1" t="s">
        <v>60</v>
      </c>
      <c r="C5" s="1" t="s">
        <v>242</v>
      </c>
      <c r="D5" s="1" t="s">
        <v>50</v>
      </c>
      <c r="E5" s="1" t="s">
        <v>49</v>
      </c>
      <c r="F5" s="1" t="s">
        <v>215</v>
      </c>
      <c r="H5" s="1" t="s">
        <v>340</v>
      </c>
      <c r="I5" s="11">
        <v>10.199999999999999</v>
      </c>
      <c r="J5" s="1" t="s">
        <v>89</v>
      </c>
      <c r="K5" s="1">
        <v>2</v>
      </c>
      <c r="L5" s="1">
        <v>4</v>
      </c>
      <c r="M5" s="1">
        <v>2002</v>
      </c>
      <c r="N5" s="1">
        <v>2003</v>
      </c>
      <c r="O5" s="11">
        <v>2007</v>
      </c>
      <c r="P5" s="11">
        <v>2009</v>
      </c>
      <c r="Q5" s="1">
        <f t="shared" si="0"/>
        <v>4</v>
      </c>
    </row>
    <row r="6" spans="1:17" x14ac:dyDescent="0.2">
      <c r="A6" s="1">
        <v>6</v>
      </c>
      <c r="B6" s="1" t="s">
        <v>316</v>
      </c>
      <c r="C6" s="1" t="s">
        <v>243</v>
      </c>
      <c r="D6" s="1" t="s">
        <v>56</v>
      </c>
      <c r="E6" s="1" t="s">
        <v>55</v>
      </c>
      <c r="F6" s="1" t="s">
        <v>217</v>
      </c>
      <c r="G6" s="12">
        <v>0.43</v>
      </c>
      <c r="H6" s="1" t="s">
        <v>339</v>
      </c>
      <c r="I6" s="11">
        <v>12.1</v>
      </c>
      <c r="J6" s="1" t="s">
        <v>89</v>
      </c>
      <c r="K6" s="1">
        <v>1</v>
      </c>
      <c r="L6" s="1">
        <v>3</v>
      </c>
      <c r="M6" s="1">
        <v>2003</v>
      </c>
      <c r="N6" s="1">
        <v>2003</v>
      </c>
      <c r="O6" s="11">
        <v>2007</v>
      </c>
      <c r="P6" s="11">
        <v>2013</v>
      </c>
      <c r="Q6" s="1">
        <f t="shared" si="0"/>
        <v>4</v>
      </c>
    </row>
    <row r="7" spans="1:17" x14ac:dyDescent="0.2">
      <c r="A7" s="1">
        <v>8</v>
      </c>
      <c r="B7" s="1" t="s">
        <v>60</v>
      </c>
      <c r="C7" s="1" t="s">
        <v>245</v>
      </c>
      <c r="D7" s="1" t="s">
        <v>56</v>
      </c>
      <c r="E7" s="1" t="s">
        <v>55</v>
      </c>
      <c r="F7" s="1" t="s">
        <v>217</v>
      </c>
      <c r="H7" s="1" t="s">
        <v>340</v>
      </c>
      <c r="I7" s="11">
        <v>19.12</v>
      </c>
      <c r="J7" s="1" t="s">
        <v>89</v>
      </c>
      <c r="K7" s="1">
        <v>2</v>
      </c>
      <c r="L7" s="1">
        <v>4</v>
      </c>
      <c r="M7" s="1">
        <v>1999</v>
      </c>
      <c r="N7" s="1">
        <v>1999</v>
      </c>
      <c r="O7" s="11">
        <v>2004</v>
      </c>
      <c r="P7" s="11">
        <v>2006</v>
      </c>
      <c r="Q7" s="1">
        <f t="shared" si="0"/>
        <v>5</v>
      </c>
    </row>
    <row r="8" spans="1:17" x14ac:dyDescent="0.2">
      <c r="A8" s="1">
        <v>30</v>
      </c>
      <c r="B8" s="1" t="s">
        <v>330</v>
      </c>
      <c r="C8" s="1" t="s">
        <v>242</v>
      </c>
      <c r="D8" s="1" t="s">
        <v>121</v>
      </c>
      <c r="E8" s="1" t="s">
        <v>144</v>
      </c>
      <c r="F8" s="1" t="s">
        <v>279</v>
      </c>
      <c r="H8" s="1" t="s">
        <v>340</v>
      </c>
      <c r="I8" s="11">
        <v>5.9</v>
      </c>
      <c r="J8" s="1" t="s">
        <v>117</v>
      </c>
      <c r="K8" s="1">
        <v>1</v>
      </c>
      <c r="L8" s="1">
        <v>2</v>
      </c>
      <c r="M8" s="1">
        <v>1997</v>
      </c>
      <c r="N8" s="1">
        <v>1998</v>
      </c>
      <c r="O8" s="11">
        <v>2003</v>
      </c>
      <c r="P8" s="11">
        <v>2005</v>
      </c>
      <c r="Q8" s="1">
        <f t="shared" si="0"/>
        <v>5</v>
      </c>
    </row>
    <row r="9" spans="1:17" x14ac:dyDescent="0.2">
      <c r="A9" s="1">
        <v>31</v>
      </c>
      <c r="B9" s="1" t="s">
        <v>331</v>
      </c>
      <c r="C9" s="1" t="s">
        <v>240</v>
      </c>
      <c r="D9" s="1" t="s">
        <v>121</v>
      </c>
      <c r="E9" s="1" t="s">
        <v>144</v>
      </c>
      <c r="F9" s="1" t="s">
        <v>279</v>
      </c>
      <c r="H9" s="1" t="s">
        <v>340</v>
      </c>
      <c r="I9" s="11">
        <v>10.9</v>
      </c>
      <c r="J9" s="1" t="s">
        <v>89</v>
      </c>
      <c r="K9" s="1">
        <v>1</v>
      </c>
      <c r="L9" s="1">
        <v>3</v>
      </c>
      <c r="M9" s="1">
        <v>2000</v>
      </c>
      <c r="N9" s="1">
        <v>2001</v>
      </c>
      <c r="O9" s="11">
        <v>2016</v>
      </c>
      <c r="P9" s="11">
        <v>2021</v>
      </c>
      <c r="Q9" s="1">
        <f t="shared" si="0"/>
        <v>15</v>
      </c>
    </row>
    <row r="10" spans="1:17" x14ac:dyDescent="0.2">
      <c r="A10" s="1">
        <v>34</v>
      </c>
      <c r="B10" s="1" t="s">
        <v>333</v>
      </c>
      <c r="C10" s="1" t="s">
        <v>283</v>
      </c>
      <c r="D10" s="1" t="s">
        <v>121</v>
      </c>
      <c r="E10" s="1" t="s">
        <v>149</v>
      </c>
      <c r="F10" s="1" t="s">
        <v>284</v>
      </c>
      <c r="H10" s="1" t="s">
        <v>340</v>
      </c>
      <c r="I10" s="11">
        <v>7</v>
      </c>
      <c r="J10" s="1" t="s">
        <v>89</v>
      </c>
      <c r="K10" s="1">
        <v>1</v>
      </c>
      <c r="L10" s="1">
        <v>3</v>
      </c>
      <c r="M10" s="1">
        <v>2008</v>
      </c>
      <c r="N10" s="1">
        <v>2008</v>
      </c>
      <c r="O10" s="11">
        <v>2016</v>
      </c>
      <c r="P10" s="11">
        <v>2019</v>
      </c>
      <c r="Q10" s="1">
        <f t="shared" si="0"/>
        <v>8</v>
      </c>
    </row>
    <row r="11" spans="1:17" x14ac:dyDescent="0.2">
      <c r="A11" s="1">
        <v>36</v>
      </c>
      <c r="B11" s="1" t="s">
        <v>164</v>
      </c>
      <c r="C11" s="1" t="s">
        <v>242</v>
      </c>
      <c r="D11" s="1" t="s">
        <v>121</v>
      </c>
      <c r="E11" s="1" t="s">
        <v>165</v>
      </c>
      <c r="F11" s="1" t="s">
        <v>291</v>
      </c>
      <c r="G11" s="12">
        <v>0.75</v>
      </c>
      <c r="H11" s="1" t="s">
        <v>340</v>
      </c>
      <c r="I11" s="11">
        <v>7.6</v>
      </c>
      <c r="J11" s="1" t="s">
        <v>89</v>
      </c>
      <c r="K11" s="1">
        <v>2</v>
      </c>
      <c r="L11" s="1">
        <v>6</v>
      </c>
      <c r="M11" s="1">
        <v>1991</v>
      </c>
      <c r="N11" s="1">
        <v>1992</v>
      </c>
      <c r="O11" s="11">
        <v>1996</v>
      </c>
      <c r="P11" s="11">
        <v>1999</v>
      </c>
      <c r="Q11" s="1">
        <f t="shared" si="0"/>
        <v>4</v>
      </c>
    </row>
    <row r="12" spans="1:17" x14ac:dyDescent="0.2">
      <c r="A12" s="1">
        <v>38</v>
      </c>
      <c r="B12" s="1" t="s">
        <v>293</v>
      </c>
      <c r="C12" s="1" t="s">
        <v>277</v>
      </c>
      <c r="D12" s="1" t="s">
        <v>121</v>
      </c>
      <c r="E12" s="1" t="s">
        <v>165</v>
      </c>
      <c r="F12" s="1" t="s">
        <v>291</v>
      </c>
      <c r="H12" s="1" t="s">
        <v>340</v>
      </c>
      <c r="I12" s="11">
        <v>8.1999999999999993</v>
      </c>
      <c r="J12" s="1" t="s">
        <v>89</v>
      </c>
      <c r="K12" s="1">
        <v>2</v>
      </c>
      <c r="L12" s="1">
        <v>3</v>
      </c>
      <c r="M12" s="1">
        <v>1998</v>
      </c>
      <c r="N12" s="1">
        <v>1999</v>
      </c>
      <c r="O12" s="11">
        <v>2003</v>
      </c>
      <c r="P12" s="11">
        <v>2004</v>
      </c>
      <c r="Q12" s="1">
        <f t="shared" si="0"/>
        <v>4</v>
      </c>
    </row>
    <row r="13" spans="1:17" x14ac:dyDescent="0.2">
      <c r="A13" s="1">
        <v>39</v>
      </c>
      <c r="B13" s="1" t="s">
        <v>168</v>
      </c>
      <c r="C13" s="1" t="s">
        <v>299</v>
      </c>
      <c r="D13" s="1" t="s">
        <v>170</v>
      </c>
      <c r="E13" s="1" t="s">
        <v>169</v>
      </c>
      <c r="F13" s="1" t="s">
        <v>289</v>
      </c>
      <c r="G13" s="12">
        <v>0.2</v>
      </c>
      <c r="H13" s="1" t="s">
        <v>339</v>
      </c>
      <c r="I13" s="11">
        <v>15.6</v>
      </c>
      <c r="J13" s="1" t="s">
        <v>89</v>
      </c>
      <c r="K13" s="1">
        <v>2</v>
      </c>
      <c r="L13" s="1">
        <v>7</v>
      </c>
      <c r="M13" s="1">
        <v>1997</v>
      </c>
      <c r="N13" s="1">
        <v>1999</v>
      </c>
      <c r="O13" s="11">
        <v>2003</v>
      </c>
      <c r="P13" s="11">
        <v>2009</v>
      </c>
      <c r="Q13" s="1">
        <f t="shared" si="0"/>
        <v>4</v>
      </c>
    </row>
    <row r="14" spans="1:17" x14ac:dyDescent="0.2">
      <c r="A14" s="1">
        <v>41</v>
      </c>
      <c r="B14" s="1" t="s">
        <v>335</v>
      </c>
      <c r="C14" s="1" t="s">
        <v>241</v>
      </c>
      <c r="D14" s="1" t="s">
        <v>174</v>
      </c>
      <c r="E14" s="1" t="s">
        <v>178</v>
      </c>
      <c r="F14" s="1" t="s">
        <v>302</v>
      </c>
      <c r="G14" s="12">
        <v>0.75</v>
      </c>
      <c r="H14" s="1" t="s">
        <v>339</v>
      </c>
      <c r="I14" s="11">
        <v>18</v>
      </c>
      <c r="J14" s="1" t="s">
        <v>306</v>
      </c>
      <c r="K14" s="1">
        <v>2</v>
      </c>
      <c r="L14" s="1">
        <v>6</v>
      </c>
      <c r="M14" s="1">
        <v>1984</v>
      </c>
      <c r="N14" s="1">
        <v>1987</v>
      </c>
      <c r="O14" s="11">
        <v>1993</v>
      </c>
      <c r="P14" s="11">
        <v>1995</v>
      </c>
      <c r="Q14" s="1">
        <f t="shared" si="0"/>
        <v>6</v>
      </c>
    </row>
  </sheetData>
  <mergeCells count="1">
    <mergeCell ref="M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B01AD-3C96-BF4E-9570-2FAE7EC2F52E}">
  <dimension ref="A1:C30"/>
  <sheetViews>
    <sheetView workbookViewId="0">
      <selection activeCell="A9" sqref="A9:XFD9"/>
    </sheetView>
  </sheetViews>
  <sheetFormatPr baseColWidth="10" defaultRowHeight="16" x14ac:dyDescent="0.2"/>
  <cols>
    <col min="1" max="1" width="69.5" bestFit="1" customWidth="1"/>
    <col min="2" max="2" width="49" bestFit="1" customWidth="1"/>
    <col min="3" max="3" width="20.6640625" customWidth="1"/>
  </cols>
  <sheetData>
    <row r="1" spans="1:3" x14ac:dyDescent="0.2">
      <c r="B1" t="s">
        <v>387</v>
      </c>
      <c r="C1" t="s">
        <v>117</v>
      </c>
    </row>
    <row r="2" spans="1:3" x14ac:dyDescent="0.2">
      <c r="A2" s="18" t="s">
        <v>388</v>
      </c>
    </row>
    <row r="3" spans="1:3" x14ac:dyDescent="0.2">
      <c r="A3" s="17" t="s">
        <v>412</v>
      </c>
      <c r="B3" t="s">
        <v>432</v>
      </c>
      <c r="C3" t="s">
        <v>433</v>
      </c>
    </row>
    <row r="4" spans="1:3" x14ac:dyDescent="0.2">
      <c r="A4" s="17" t="s">
        <v>392</v>
      </c>
      <c r="B4" t="s">
        <v>434</v>
      </c>
      <c r="C4" t="s">
        <v>152</v>
      </c>
    </row>
    <row r="5" spans="1:3" x14ac:dyDescent="0.2">
      <c r="A5" s="17" t="s">
        <v>393</v>
      </c>
      <c r="B5" t="s">
        <v>435</v>
      </c>
      <c r="C5" t="s">
        <v>152</v>
      </c>
    </row>
    <row r="6" spans="1:3" ht="33" customHeight="1" x14ac:dyDescent="0.2">
      <c r="A6" s="27" t="s">
        <v>395</v>
      </c>
      <c r="B6" s="26" t="s">
        <v>442</v>
      </c>
    </row>
    <row r="7" spans="1:3" x14ac:dyDescent="0.2">
      <c r="A7" s="17" t="s">
        <v>399</v>
      </c>
      <c r="B7" t="s">
        <v>152</v>
      </c>
    </row>
    <row r="8" spans="1:3" x14ac:dyDescent="0.2">
      <c r="A8" s="17" t="s">
        <v>446</v>
      </c>
      <c r="B8" t="s">
        <v>152</v>
      </c>
    </row>
    <row r="9" spans="1:3" x14ac:dyDescent="0.2">
      <c r="A9" s="18" t="s">
        <v>391</v>
      </c>
    </row>
    <row r="10" spans="1:3" x14ac:dyDescent="0.2">
      <c r="A10" s="17" t="s">
        <v>396</v>
      </c>
      <c r="B10" t="s">
        <v>443</v>
      </c>
    </row>
    <row r="11" spans="1:3" x14ac:dyDescent="0.2">
      <c r="A11" s="17" t="s">
        <v>397</v>
      </c>
      <c r="B11" t="s">
        <v>444</v>
      </c>
    </row>
    <row r="12" spans="1:3" x14ac:dyDescent="0.2">
      <c r="A12" s="17" t="s">
        <v>398</v>
      </c>
      <c r="B12" t="s">
        <v>444</v>
      </c>
    </row>
    <row r="13" spans="1:3" x14ac:dyDescent="0.2">
      <c r="A13" s="18" t="s">
        <v>390</v>
      </c>
    </row>
    <row r="14" spans="1:3" x14ac:dyDescent="0.2">
      <c r="A14" s="17" t="s">
        <v>394</v>
      </c>
      <c r="B14" t="s">
        <v>445</v>
      </c>
    </row>
    <row r="15" spans="1:3" x14ac:dyDescent="0.2">
      <c r="A15" s="17" t="s">
        <v>447</v>
      </c>
      <c r="B15" t="s">
        <v>152</v>
      </c>
    </row>
    <row r="16" spans="1:3" x14ac:dyDescent="0.2">
      <c r="A16" s="18" t="s">
        <v>400</v>
      </c>
    </row>
    <row r="17" spans="1:1" x14ac:dyDescent="0.2">
      <c r="A17" s="17" t="s">
        <v>401</v>
      </c>
    </row>
    <row r="18" spans="1:1" x14ac:dyDescent="0.2">
      <c r="A18" s="17" t="s">
        <v>402</v>
      </c>
    </row>
    <row r="19" spans="1:1" x14ac:dyDescent="0.2">
      <c r="A19" s="18" t="s">
        <v>389</v>
      </c>
    </row>
    <row r="20" spans="1:1" x14ac:dyDescent="0.2">
      <c r="A20" s="18" t="s">
        <v>369</v>
      </c>
    </row>
    <row r="21" spans="1:1" x14ac:dyDescent="0.2">
      <c r="A21" s="18" t="s">
        <v>403</v>
      </c>
    </row>
    <row r="22" spans="1:1" x14ac:dyDescent="0.2">
      <c r="A22" s="17" t="s">
        <v>407</v>
      </c>
    </row>
    <row r="23" spans="1:1" x14ac:dyDescent="0.2">
      <c r="A23" s="17" t="s">
        <v>408</v>
      </c>
    </row>
    <row r="24" spans="1:1" x14ac:dyDescent="0.2">
      <c r="A24" s="17" t="s">
        <v>409</v>
      </c>
    </row>
    <row r="25" spans="1:1" x14ac:dyDescent="0.2">
      <c r="A25" s="17" t="s">
        <v>410</v>
      </c>
    </row>
    <row r="26" spans="1:1" x14ac:dyDescent="0.2">
      <c r="A26" s="17" t="s">
        <v>404</v>
      </c>
    </row>
    <row r="27" spans="1:1" x14ac:dyDescent="0.2">
      <c r="A27" s="17" t="s">
        <v>410</v>
      </c>
    </row>
    <row r="28" spans="1:1" x14ac:dyDescent="0.2">
      <c r="A28" s="17" t="s">
        <v>411</v>
      </c>
    </row>
    <row r="29" spans="1:1" x14ac:dyDescent="0.2">
      <c r="A29" s="17" t="s">
        <v>405</v>
      </c>
    </row>
    <row r="30" spans="1:1" x14ac:dyDescent="0.2">
      <c r="A30" s="17" t="s">
        <v>406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0628B-3B44-C14B-AE46-0C3C4A6731F4}">
  <dimension ref="A1:F28"/>
  <sheetViews>
    <sheetView workbookViewId="0">
      <selection activeCell="J30" sqref="J30"/>
    </sheetView>
  </sheetViews>
  <sheetFormatPr baseColWidth="10" defaultRowHeight="16" x14ac:dyDescent="0.2"/>
  <cols>
    <col min="1" max="1" width="32" customWidth="1"/>
    <col min="2" max="2" width="23.33203125" bestFit="1" customWidth="1"/>
    <col min="3" max="3" width="21.6640625" bestFit="1" customWidth="1"/>
    <col min="4" max="6" width="20" bestFit="1" customWidth="1"/>
  </cols>
  <sheetData>
    <row r="1" spans="1:6" x14ac:dyDescent="0.2">
      <c r="A1" t="s">
        <v>441</v>
      </c>
    </row>
    <row r="3" spans="1:6" x14ac:dyDescent="0.2">
      <c r="B3" s="41" t="s">
        <v>424</v>
      </c>
      <c r="C3" s="41"/>
      <c r="D3" s="23" t="s">
        <v>427</v>
      </c>
      <c r="E3" s="23" t="s">
        <v>428</v>
      </c>
      <c r="F3" s="23" t="s">
        <v>425</v>
      </c>
    </row>
    <row r="4" spans="1:6" x14ac:dyDescent="0.2">
      <c r="A4" s="18" t="s">
        <v>413</v>
      </c>
      <c r="B4" s="18" t="s">
        <v>430</v>
      </c>
      <c r="C4" s="18" t="s">
        <v>431</v>
      </c>
      <c r="D4" s="24" t="s">
        <v>429</v>
      </c>
      <c r="E4" s="24" t="s">
        <v>429</v>
      </c>
      <c r="F4" s="24" t="s">
        <v>429</v>
      </c>
    </row>
    <row r="5" spans="1:6" x14ac:dyDescent="0.2">
      <c r="A5" t="s">
        <v>414</v>
      </c>
      <c r="B5">
        <v>7878</v>
      </c>
      <c r="C5">
        <f>B5/2</f>
        <v>3939</v>
      </c>
      <c r="D5" s="23">
        <v>2250</v>
      </c>
      <c r="E5" s="23">
        <v>2050</v>
      </c>
      <c r="F5" s="23">
        <v>1940</v>
      </c>
    </row>
    <row r="6" spans="1:6" x14ac:dyDescent="0.2">
      <c r="A6" t="s">
        <v>415</v>
      </c>
      <c r="B6">
        <v>2848</v>
      </c>
      <c r="C6">
        <f t="shared" ref="C6:C14" si="0">B6/2</f>
        <v>1424</v>
      </c>
      <c r="D6" s="23">
        <v>1440</v>
      </c>
      <c r="E6" s="23">
        <v>1250</v>
      </c>
      <c r="F6" s="23">
        <v>1120</v>
      </c>
    </row>
    <row r="7" spans="1:6" x14ac:dyDescent="0.2">
      <c r="A7" t="s">
        <v>416</v>
      </c>
      <c r="B7">
        <v>3781</v>
      </c>
      <c r="C7">
        <f t="shared" si="0"/>
        <v>1890.5</v>
      </c>
      <c r="D7" s="23">
        <v>1640</v>
      </c>
      <c r="E7" s="23">
        <v>1620</v>
      </c>
      <c r="F7" s="23">
        <v>1510</v>
      </c>
    </row>
    <row r="8" spans="1:6" x14ac:dyDescent="0.2">
      <c r="A8" t="s">
        <v>417</v>
      </c>
      <c r="B8">
        <v>3431</v>
      </c>
      <c r="C8">
        <v>1716</v>
      </c>
      <c r="D8" s="23">
        <v>960</v>
      </c>
      <c r="E8" s="23">
        <v>930</v>
      </c>
      <c r="F8" s="23">
        <v>880</v>
      </c>
    </row>
    <row r="9" spans="1:6" x14ac:dyDescent="0.2">
      <c r="A9" t="s">
        <v>418</v>
      </c>
      <c r="B9">
        <v>3503</v>
      </c>
      <c r="C9">
        <v>1752</v>
      </c>
      <c r="D9" s="23">
        <v>1220</v>
      </c>
      <c r="E9" s="23">
        <v>1200</v>
      </c>
      <c r="F9" s="23">
        <v>1100</v>
      </c>
    </row>
    <row r="10" spans="1:6" x14ac:dyDescent="0.2">
      <c r="A10" t="s">
        <v>419</v>
      </c>
      <c r="B10">
        <v>3287</v>
      </c>
      <c r="C10">
        <v>1644</v>
      </c>
      <c r="D10" s="23">
        <v>1540</v>
      </c>
      <c r="E10" s="23">
        <v>1300</v>
      </c>
      <c r="F10" s="23">
        <v>1110</v>
      </c>
    </row>
    <row r="11" spans="1:6" x14ac:dyDescent="0.2">
      <c r="A11" t="s">
        <v>420</v>
      </c>
      <c r="B11">
        <v>1472</v>
      </c>
      <c r="C11">
        <f t="shared" si="0"/>
        <v>736</v>
      </c>
      <c r="D11" s="23">
        <v>380</v>
      </c>
      <c r="E11" s="23">
        <v>480</v>
      </c>
      <c r="F11" s="23">
        <v>400</v>
      </c>
    </row>
    <row r="12" spans="1:6" x14ac:dyDescent="0.2">
      <c r="A12" t="s">
        <v>421</v>
      </c>
      <c r="B12">
        <v>1770</v>
      </c>
      <c r="C12">
        <f t="shared" si="0"/>
        <v>885</v>
      </c>
      <c r="D12" s="23">
        <v>1100</v>
      </c>
      <c r="E12" s="23">
        <v>1220</v>
      </c>
      <c r="F12" s="23">
        <v>1090</v>
      </c>
    </row>
    <row r="13" spans="1:6" x14ac:dyDescent="0.2">
      <c r="A13" t="s">
        <v>423</v>
      </c>
      <c r="B13">
        <v>900</v>
      </c>
      <c r="C13">
        <f t="shared" si="0"/>
        <v>450</v>
      </c>
      <c r="D13" s="23">
        <v>640</v>
      </c>
      <c r="E13" s="23">
        <v>680</v>
      </c>
      <c r="F13" s="23">
        <v>650</v>
      </c>
    </row>
    <row r="14" spans="1:6" x14ac:dyDescent="0.2">
      <c r="A14" t="s">
        <v>422</v>
      </c>
      <c r="B14">
        <v>5196</v>
      </c>
      <c r="C14">
        <f t="shared" si="0"/>
        <v>2598</v>
      </c>
      <c r="D14" s="23">
        <v>3280</v>
      </c>
      <c r="E14" s="23">
        <v>3200</v>
      </c>
      <c r="F14" s="23">
        <v>3010</v>
      </c>
    </row>
    <row r="15" spans="1:6" x14ac:dyDescent="0.2">
      <c r="A15" s="20" t="s">
        <v>426</v>
      </c>
      <c r="B15" s="20">
        <v>34066</v>
      </c>
      <c r="C15" s="20">
        <f>B15/2</f>
        <v>17033</v>
      </c>
      <c r="D15" s="25">
        <f>SUM(D5:D14)</f>
        <v>14450</v>
      </c>
      <c r="E15" s="25">
        <f t="shared" ref="E15:F15" si="1">SUM(E5:E14)</f>
        <v>13930</v>
      </c>
      <c r="F15" s="25">
        <f t="shared" si="1"/>
        <v>12810</v>
      </c>
    </row>
    <row r="17" spans="1:5" x14ac:dyDescent="0.2">
      <c r="A17" t="s">
        <v>437</v>
      </c>
    </row>
    <row r="18" spans="1:5" x14ac:dyDescent="0.2">
      <c r="B18" t="s">
        <v>438</v>
      </c>
      <c r="C18" t="s">
        <v>117</v>
      </c>
    </row>
    <row r="19" spans="1:5" x14ac:dyDescent="0.2">
      <c r="A19" s="21" t="s">
        <v>408</v>
      </c>
      <c r="B19">
        <v>197000</v>
      </c>
      <c r="C19">
        <v>187300</v>
      </c>
    </row>
    <row r="20" spans="1:5" x14ac:dyDescent="0.2">
      <c r="A20" s="21" t="s">
        <v>409</v>
      </c>
      <c r="B20">
        <v>47900</v>
      </c>
      <c r="C20">
        <v>39100</v>
      </c>
    </row>
    <row r="21" spans="1:5" x14ac:dyDescent="0.2">
      <c r="A21" s="21" t="s">
        <v>410</v>
      </c>
      <c r="B21">
        <v>45900</v>
      </c>
      <c r="C21">
        <v>70200</v>
      </c>
    </row>
    <row r="22" spans="1:5" x14ac:dyDescent="0.2">
      <c r="A22" s="19" t="s">
        <v>407</v>
      </c>
      <c r="B22">
        <v>290800</v>
      </c>
      <c r="C22">
        <v>296600</v>
      </c>
      <c r="D22" s="22">
        <f>C22-B22</f>
        <v>5800</v>
      </c>
      <c r="E22" t="s">
        <v>440</v>
      </c>
    </row>
    <row r="23" spans="1:5" x14ac:dyDescent="0.2">
      <c r="A23" s="21" t="s">
        <v>410</v>
      </c>
      <c r="B23">
        <v>44800</v>
      </c>
      <c r="C23">
        <v>68700</v>
      </c>
      <c r="D23" s="22">
        <f>C23-B23</f>
        <v>23900</v>
      </c>
      <c r="E23" t="s">
        <v>439</v>
      </c>
    </row>
    <row r="24" spans="1:5" x14ac:dyDescent="0.2">
      <c r="A24" s="21" t="s">
        <v>411</v>
      </c>
      <c r="B24" t="s">
        <v>295</v>
      </c>
      <c r="C24" s="22">
        <v>8100</v>
      </c>
    </row>
    <row r="25" spans="1:5" x14ac:dyDescent="0.2">
      <c r="A25" s="19" t="s">
        <v>436</v>
      </c>
      <c r="B25">
        <v>195500</v>
      </c>
      <c r="C25">
        <v>203600</v>
      </c>
    </row>
    <row r="26" spans="1:5" x14ac:dyDescent="0.2">
      <c r="A26" s="17"/>
    </row>
    <row r="28" spans="1:5" x14ac:dyDescent="0.2">
      <c r="A28" t="s">
        <v>448</v>
      </c>
    </row>
  </sheetData>
  <mergeCells count="1">
    <mergeCell ref="B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US_LR_All</vt:lpstr>
      <vt:lpstr>Projects Overview</vt:lpstr>
      <vt:lpstr>Criteria of LPA Approval</vt:lpstr>
      <vt:lpstr>At least 4-year lag of Const.</vt:lpstr>
      <vt:lpstr>Fake Alts </vt:lpstr>
      <vt:lpstr>DART North Central Cord.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Yadi Wang</cp:lastModifiedBy>
  <dcterms:created xsi:type="dcterms:W3CDTF">2022-02-27T13:52:15Z</dcterms:created>
  <dcterms:modified xsi:type="dcterms:W3CDTF">2026-05-29T01:25:07Z</dcterms:modified>
</cp:coreProperties>
</file>