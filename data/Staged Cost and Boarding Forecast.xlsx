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diwang/Downloads/"/>
    </mc:Choice>
  </mc:AlternateContent>
  <xr:revisionPtr revIDLastSave="0" documentId="13_ncr:1_{8B443459-429C-CE48-8420-F25F2C3C5DF9}" xr6:coauthVersionLast="47" xr6:coauthVersionMax="47" xr10:uidLastSave="{00000000-0000-0000-0000-000000000000}"/>
  <bookViews>
    <workbookView xWindow="0" yWindow="460" windowWidth="28800" windowHeight="15940" xr2:uid="{6AFEA314-1862-504A-A34F-26D8835B6A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12" i="1" l="1"/>
</calcChain>
</file>

<file path=xl/sharedStrings.xml><?xml version="1.0" encoding="utf-8"?>
<sst xmlns="http://schemas.openxmlformats.org/spreadsheetml/2006/main" count="301" uniqueCount="224">
  <si>
    <t>Name</t>
  </si>
  <si>
    <t>Line Name</t>
  </si>
  <si>
    <t>State</t>
  </si>
  <si>
    <t>City</t>
  </si>
  <si>
    <t>Length(km)</t>
  </si>
  <si>
    <t>-</t>
  </si>
  <si>
    <t>MD</t>
  </si>
  <si>
    <t>Baltimore</t>
  </si>
  <si>
    <t xml:space="preserve">South Oak Cliff </t>
  </si>
  <si>
    <t>Blue Line</t>
  </si>
  <si>
    <t>TX</t>
  </si>
  <si>
    <t>Dallas</t>
  </si>
  <si>
    <t xml:space="preserve">North Central Extension </t>
  </si>
  <si>
    <t>Red Line</t>
  </si>
  <si>
    <t>Southeast Corridor LRT</t>
  </si>
  <si>
    <t>Green Line</t>
  </si>
  <si>
    <t>Northwest Corridor LRT to Irving DFW Airport</t>
  </si>
  <si>
    <t>Orange Line</t>
  </si>
  <si>
    <t xml:space="preserve">West Corridor LRT </t>
  </si>
  <si>
    <t>W Line</t>
  </si>
  <si>
    <t>CO</t>
  </si>
  <si>
    <t>Denver</t>
  </si>
  <si>
    <t>Southwest LRT Project</t>
  </si>
  <si>
    <t>D Line</t>
  </si>
  <si>
    <t>E Line</t>
  </si>
  <si>
    <t>North Hardy MetroRail Red Line</t>
  </si>
  <si>
    <t>Houston</t>
  </si>
  <si>
    <t>Purple Line</t>
  </si>
  <si>
    <t xml:space="preserve">Hiawatha LRT </t>
  </si>
  <si>
    <t>MN</t>
  </si>
  <si>
    <t>Minneapolis</t>
  </si>
  <si>
    <t>Central Corridor LRT</t>
  </si>
  <si>
    <t>Minneapolis-St. Paul</t>
  </si>
  <si>
    <t>Hudson Bergen MOS 1&amp; MOS 2</t>
  </si>
  <si>
    <t>NJ</t>
  </si>
  <si>
    <t>Jersey City</t>
  </si>
  <si>
    <t>Newark-Elizabeth (First MOS)</t>
  </si>
  <si>
    <t>Newark</t>
  </si>
  <si>
    <t xml:space="preserve">The Tide Light Rail </t>
  </si>
  <si>
    <t>VA</t>
  </si>
  <si>
    <t>Norfolk</t>
  </si>
  <si>
    <t>Central Phoenix/East Valley LRT</t>
  </si>
  <si>
    <t>AZ</t>
  </si>
  <si>
    <t>Phoenix</t>
  </si>
  <si>
    <t>North Shore LRT Connector</t>
  </si>
  <si>
    <t>All Lines</t>
  </si>
  <si>
    <t>PA</t>
  </si>
  <si>
    <t>Pittsburgh</t>
  </si>
  <si>
    <t>I-205/Portland Mall LRT</t>
  </si>
  <si>
    <t>Max Green Line</t>
  </si>
  <si>
    <t>OR</t>
  </si>
  <si>
    <t>Portland</t>
  </si>
  <si>
    <t>Portland-Milwaukie LRT</t>
  </si>
  <si>
    <t>Max Orange Line</t>
  </si>
  <si>
    <t xml:space="preserve">Westside-Hillsboro Extension LRT </t>
  </si>
  <si>
    <t>Max Blue Line</t>
  </si>
  <si>
    <t>North Corridor Interstate Max</t>
  </si>
  <si>
    <t>Max Yellow Line</t>
  </si>
  <si>
    <t>South Sacramento LRT Phase 1</t>
  </si>
  <si>
    <t>CA</t>
  </si>
  <si>
    <t>Sacramento</t>
  </si>
  <si>
    <t>South Sacramento LRT Phase 2</t>
  </si>
  <si>
    <t xml:space="preserve">Downtown Sacramento-Folsom </t>
  </si>
  <si>
    <t>Gold Line</t>
  </si>
  <si>
    <t>Sandy Line</t>
  </si>
  <si>
    <t>UT</t>
  </si>
  <si>
    <t>Salt Lake City</t>
  </si>
  <si>
    <t>Mid Jordan LRT</t>
  </si>
  <si>
    <t>Draper Transit Corridor (MOS)</t>
  </si>
  <si>
    <t>University &amp; Medical CenterLRT</t>
  </si>
  <si>
    <t>El Cajon Extension</t>
  </si>
  <si>
    <t>San Diego</t>
  </si>
  <si>
    <t>Mission Valley East LRT</t>
  </si>
  <si>
    <t>Mid-Coast Corridor LRT</t>
  </si>
  <si>
    <t>T Third Street LRT Phase 1</t>
  </si>
  <si>
    <t>T Line</t>
  </si>
  <si>
    <t>San Francisco</t>
  </si>
  <si>
    <t>Guadalupe Line LRT</t>
  </si>
  <si>
    <t>San Jose</t>
  </si>
  <si>
    <t>Tasman West LRT</t>
  </si>
  <si>
    <t>Santa Clare</t>
  </si>
  <si>
    <t>Vasona Extension</t>
  </si>
  <si>
    <t>Central Link Initial Segment</t>
  </si>
  <si>
    <t>Line 1</t>
  </si>
  <si>
    <t>WA</t>
  </si>
  <si>
    <t>Seattle</t>
  </si>
  <si>
    <t>MetroLink</t>
  </si>
  <si>
    <t>MO</t>
  </si>
  <si>
    <t>St. Louis</t>
  </si>
  <si>
    <t>South Corridor LRT</t>
  </si>
  <si>
    <t>Lynx Blue Line</t>
  </si>
  <si>
    <t>NC</t>
  </si>
  <si>
    <t>Charlotte</t>
  </si>
  <si>
    <t xml:space="preserve">Northeast Corridor LRT </t>
  </si>
  <si>
    <t xml:space="preserve">Mid-city/Exposition Phase 1 </t>
  </si>
  <si>
    <t>Los Angeles</t>
  </si>
  <si>
    <t>IA DEIS Cost</t>
  </si>
  <si>
    <t>IA FEIS Cost</t>
  </si>
  <si>
    <t>IA FFGA Cost</t>
  </si>
  <si>
    <t>IA Actual Cost</t>
  </si>
  <si>
    <t>NS_DEIS Board Fore</t>
  </si>
  <si>
    <t>Year</t>
  </si>
  <si>
    <t>NS_FEIS Board Fore</t>
  </si>
  <si>
    <t>Actual Board</t>
  </si>
  <si>
    <t>Actual Year</t>
  </si>
  <si>
    <t>03BA_2_1</t>
  </si>
  <si>
    <t>03BA_5</t>
  </si>
  <si>
    <t>07BA_7</t>
  </si>
  <si>
    <t>07BA_8</t>
  </si>
  <si>
    <t>20BA_17</t>
  </si>
  <si>
    <t>03BA_7</t>
  </si>
  <si>
    <t>20BA_18</t>
  </si>
  <si>
    <t>07BA_11</t>
  </si>
  <si>
    <t>20BA_22</t>
  </si>
  <si>
    <t>07BA_13</t>
  </si>
  <si>
    <t>07BA_12</t>
  </si>
  <si>
    <t>13BA_10</t>
  </si>
  <si>
    <t>20BA_3</t>
  </si>
  <si>
    <t>20BA_15</t>
  </si>
  <si>
    <t>20BA_6</t>
  </si>
  <si>
    <t>20BA_29</t>
  </si>
  <si>
    <t>03BA_13</t>
  </si>
  <si>
    <t>07BA_15</t>
  </si>
  <si>
    <t>07BA_16</t>
  </si>
  <si>
    <t>20BA_24</t>
  </si>
  <si>
    <t>03BA-14?</t>
  </si>
  <si>
    <t>20BA_13</t>
  </si>
  <si>
    <t>20BA_19</t>
  </si>
  <si>
    <t>07BA_17</t>
  </si>
  <si>
    <t>03BA_15</t>
  </si>
  <si>
    <t>03BA_17</t>
  </si>
  <si>
    <t>03BA_18</t>
  </si>
  <si>
    <t>20BA_10</t>
  </si>
  <si>
    <t>03BA_21</t>
  </si>
  <si>
    <t>20BA_1</t>
  </si>
  <si>
    <t>Hunt Valley &amp;BWI</t>
  </si>
  <si>
    <t>Southeast &amp;Northwest Farmers LRT</t>
  </si>
  <si>
    <t xml:space="preserve">NS is </t>
  </si>
  <si>
    <t>lower</t>
  </si>
  <si>
    <t>higher</t>
  </si>
  <si>
    <t>id</t>
  </si>
  <si>
    <t>Project Name</t>
  </si>
  <si>
    <t>Open Year</t>
  </si>
  <si>
    <t>Project ID</t>
  </si>
  <si>
    <t>MD-HV</t>
  </si>
  <si>
    <t>TX-SOC</t>
  </si>
  <si>
    <t>TX-NCE</t>
  </si>
  <si>
    <t>TX-SENW</t>
  </si>
  <si>
    <t>TX-NWIrv</t>
  </si>
  <si>
    <t>CO-W</t>
  </si>
  <si>
    <t>CO-SW</t>
  </si>
  <si>
    <t xml:space="preserve">CO-SE </t>
  </si>
  <si>
    <t>TX-NH</t>
  </si>
  <si>
    <t>TX-SEC</t>
  </si>
  <si>
    <t>MN-HW</t>
  </si>
  <si>
    <t>MN-CC</t>
  </si>
  <si>
    <t>NJ-HB</t>
  </si>
  <si>
    <t>NJ-NE</t>
  </si>
  <si>
    <t>VA-TD</t>
  </si>
  <si>
    <t>AZ-CPEV</t>
  </si>
  <si>
    <t>PA-NS</t>
  </si>
  <si>
    <t>OR-I-205</t>
  </si>
  <si>
    <t>OR-PM</t>
  </si>
  <si>
    <t>OR-WHE</t>
  </si>
  <si>
    <t>OR-NIM</t>
  </si>
  <si>
    <t>CA-SSA1</t>
  </si>
  <si>
    <t>CA-SSA2</t>
  </si>
  <si>
    <t>CA-DSAF</t>
  </si>
  <si>
    <t>UT-Sandy</t>
  </si>
  <si>
    <t>UT-MJ</t>
  </si>
  <si>
    <t>UT-DP</t>
  </si>
  <si>
    <t>UT-UM</t>
  </si>
  <si>
    <t>CA-ELCJ</t>
  </si>
  <si>
    <t>CA-MVE</t>
  </si>
  <si>
    <t>CA-MC</t>
  </si>
  <si>
    <t>CA-TT</t>
  </si>
  <si>
    <t>CA-GDP</t>
  </si>
  <si>
    <t>CA-TW</t>
  </si>
  <si>
    <t>CA-V</t>
  </si>
  <si>
    <t>WA-CL</t>
  </si>
  <si>
    <t>MO-ML</t>
  </si>
  <si>
    <t>NC-SC</t>
  </si>
  <si>
    <t>NC-NE</t>
  </si>
  <si>
    <t>CA-EXP</t>
  </si>
  <si>
    <t>MD-Hunt Valley &amp;BWI</t>
  </si>
  <si>
    <t xml:space="preserve">TX-South Oak Cliff </t>
  </si>
  <si>
    <t xml:space="preserve">TX-North Central Extension </t>
  </si>
  <si>
    <t>TX-Southeast &amp;Northwest Farmers LRT</t>
  </si>
  <si>
    <t>TX-Northwest Corridor LRT to Irving DFW Airport</t>
  </si>
  <si>
    <t xml:space="preserve">CO-West Corridor LRT </t>
  </si>
  <si>
    <t>CO-Southwest LRT Project</t>
  </si>
  <si>
    <t>CO-Southeast Corridor LRT</t>
  </si>
  <si>
    <t>TX-North Hardy MetroRail Red Line</t>
  </si>
  <si>
    <t>TX-Southeast Corridor LRT</t>
  </si>
  <si>
    <t xml:space="preserve">MN-Hiawatha LRT </t>
  </si>
  <si>
    <t>MN-Central Corridor LRT</t>
  </si>
  <si>
    <t>NJ-Hudson Bergen MOS 1&amp; MOS 2</t>
  </si>
  <si>
    <t>NJ-Newark-Elizabeth (First MOS)</t>
  </si>
  <si>
    <t xml:space="preserve">VA-The Tide Light Rail </t>
  </si>
  <si>
    <t>AZ-Central Phoenix/East Valley LRT</t>
  </si>
  <si>
    <t>PA-North Shore LRT Connector</t>
  </si>
  <si>
    <t>OR-I-205/Portland Mall LRT</t>
  </si>
  <si>
    <t>OR-Portland-Milwaukie LRT</t>
  </si>
  <si>
    <t xml:space="preserve">OR-Westside-Hillsboro Extension LRT </t>
  </si>
  <si>
    <t>OR-North Corridor Interstate Max</t>
  </si>
  <si>
    <t>CA-South Sacramento LRT Phase 1</t>
  </si>
  <si>
    <t>CA-South Sacramento LRT Phase 2</t>
  </si>
  <si>
    <t xml:space="preserve">CA-Downtown Sacramento-Folsom </t>
  </si>
  <si>
    <t>UT-Sandy Line</t>
  </si>
  <si>
    <t>UT-Mid Jordan LRT</t>
  </si>
  <si>
    <t>UT-Draper Transit Corridor (MOS)</t>
  </si>
  <si>
    <t>UT-University &amp; Medical CenterLRT</t>
  </si>
  <si>
    <t>CA-El Cajon Extension</t>
  </si>
  <si>
    <t>CA-Mission Valley East LRT</t>
  </si>
  <si>
    <t>CA-Mid-Coast Corridor LRT</t>
  </si>
  <si>
    <t>CA-T Third Street LRT Phase 1</t>
  </si>
  <si>
    <t>CA-Guadalupe Line LRT</t>
  </si>
  <si>
    <t>CA-Tasman West LRT</t>
  </si>
  <si>
    <t>CA-Vasona Extension</t>
  </si>
  <si>
    <t>WA-Central Link Initial Segment</t>
  </si>
  <si>
    <t>MO-MetroLink</t>
  </si>
  <si>
    <t>NC-South Corridor LRT</t>
  </si>
  <si>
    <t xml:space="preserve">NC-Northeast Corridor LRT </t>
  </si>
  <si>
    <t xml:space="preserve">CA-Mid-city/Exposition Phase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</si>
</sst>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8" tint="-0.499984740745262"/>
      <name val="Calibri"/>
      <family val="2"/>
      <scheme val="minor"/>
    </font>
    <font>
      <u/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2" xfId="1" applyFill="1" applyBorder="1"/>
    <xf numFmtId="0" fontId="6" fillId="0" borderId="0" xfId="5" applyFill="1" applyAlignment="1">
      <alignment vertical="top"/>
    </xf>
    <xf numFmtId="0" fontId="8" fillId="0" borderId="0" xfId="5" applyFont="1" applyFill="1" applyAlignment="1">
      <alignment vertical="top"/>
    </xf>
    <xf numFmtId="0" fontId="9" fillId="0" borderId="0" xfId="5" applyFont="1" applyFill="1" applyAlignment="1">
      <alignment vertical="top"/>
    </xf>
    <xf numFmtId="0" fontId="4" fillId="0" borderId="0" xfId="4" applyFill="1"/>
    <xf numFmtId="0" fontId="4" fillId="0" borderId="0" xfId="4" applyFill="1" applyAlignment="1">
      <alignment vertical="top"/>
    </xf>
    <xf numFmtId="0" fontId="0" fillId="0" borderId="0" xfId="0" applyFill="1"/>
    <xf numFmtId="0" fontId="7" fillId="0" borderId="0" xfId="0" applyFont="1" applyFill="1" applyAlignment="1">
      <alignment vertical="top"/>
    </xf>
    <xf numFmtId="2" fontId="7" fillId="0" borderId="0" xfId="0" applyNumberFormat="1" applyFont="1" applyFill="1" applyAlignment="1">
      <alignment vertical="top"/>
    </xf>
    <xf numFmtId="0" fontId="5" fillId="0" borderId="0" xfId="0" applyFont="1" applyFill="1" applyAlignment="1">
      <alignment vertical="top"/>
    </xf>
    <xf numFmtId="0" fontId="0" fillId="0" borderId="0" xfId="0" applyFill="1" applyAlignment="1">
      <alignment vertical="top"/>
    </xf>
    <xf numFmtId="0" fontId="1" fillId="0" borderId="1" xfId="1" applyFill="1"/>
    <xf numFmtId="0" fontId="2" fillId="0" borderId="0" xfId="2" applyFill="1"/>
    <xf numFmtId="0" fontId="1" fillId="0" borderId="0" xfId="1" applyFill="1" applyBorder="1"/>
    <xf numFmtId="0" fontId="2" fillId="0" borderId="0" xfId="2" applyFill="1" applyAlignment="1">
      <alignment vertical="top"/>
    </xf>
    <xf numFmtId="0" fontId="3" fillId="0" borderId="0" xfId="3" applyFill="1"/>
    <xf numFmtId="2" fontId="0" fillId="0" borderId="0" xfId="0" applyNumberFormat="1" applyFill="1"/>
    <xf numFmtId="2" fontId="1" fillId="0" borderId="1" xfId="1" applyNumberFormat="1" applyFill="1"/>
  </cellXfs>
  <cellStyles count="6">
    <cellStyle name="Bad" xfId="3" builtinId="27"/>
    <cellStyle name="Good" xfId="2" builtinId="26"/>
    <cellStyle name="Heading 1" xfId="1" builtinId="16"/>
    <cellStyle name="Hyperlink" xfId="5" builtinId="8"/>
    <cellStyle name="Neutral" xfId="4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2A972-9774-EA48-8648-D2CF63679D6E}">
  <dimension ref="A1:T43"/>
  <sheetViews>
    <sheetView tabSelected="1" zoomScale="68" workbookViewId="0">
      <selection activeCell="J42" sqref="J2:J42"/>
    </sheetView>
  </sheetViews>
  <sheetFormatPr baseColWidth="10" defaultRowHeight="16" x14ac:dyDescent="0.2"/>
  <cols>
    <col min="1" max="1" width="10.83203125" style="7"/>
    <col min="2" max="2" width="11.1640625" style="7" bestFit="1" customWidth="1"/>
    <col min="3" max="3" width="41.6640625" style="7" bestFit="1" customWidth="1"/>
    <col min="4" max="4" width="49.1640625" style="7" bestFit="1" customWidth="1"/>
    <col min="5" max="5" width="15" style="8" customWidth="1"/>
    <col min="6" max="6" width="6.5" style="8" bestFit="1" customWidth="1"/>
    <col min="7" max="7" width="18.1640625" style="7" bestFit="1" customWidth="1"/>
    <col min="8" max="8" width="13" style="7" bestFit="1" customWidth="1"/>
    <col min="9" max="9" width="10.83203125" style="7"/>
    <col min="10" max="10" width="22.5" style="17" bestFit="1" customWidth="1"/>
    <col min="11" max="11" width="13" style="17" bestFit="1" customWidth="1"/>
    <col min="12" max="12" width="14.33203125" style="17" bestFit="1" customWidth="1"/>
    <col min="13" max="13" width="15.33203125" style="17" bestFit="1" customWidth="1"/>
    <col min="14" max="14" width="21.6640625" style="7" bestFit="1" customWidth="1"/>
    <col min="15" max="15" width="5.83203125" style="7" bestFit="1" customWidth="1"/>
    <col min="16" max="16" width="21.1640625" style="7" bestFit="1" customWidth="1"/>
    <col min="17" max="17" width="5.83203125" style="7" bestFit="1" customWidth="1"/>
    <col min="18" max="18" width="6.6640625" style="7" bestFit="1" customWidth="1"/>
    <col min="19" max="19" width="14.1640625" style="7" bestFit="1" customWidth="1"/>
    <col min="20" max="20" width="12.83203125" style="7" bestFit="1" customWidth="1"/>
    <col min="21" max="16384" width="10.83203125" style="7"/>
  </cols>
  <sheetData>
    <row r="1" spans="1:20" s="12" customFormat="1" ht="21" thickBot="1" x14ac:dyDescent="0.3">
      <c r="A1" s="1" t="s">
        <v>140</v>
      </c>
      <c r="B1" s="14" t="s">
        <v>143</v>
      </c>
      <c r="C1" s="14" t="s">
        <v>141</v>
      </c>
      <c r="D1" s="12" t="s">
        <v>0</v>
      </c>
      <c r="E1" s="12" t="s">
        <v>1</v>
      </c>
      <c r="F1" s="12" t="s">
        <v>2</v>
      </c>
      <c r="G1" s="12" t="s">
        <v>3</v>
      </c>
      <c r="H1" s="12" t="s">
        <v>4</v>
      </c>
      <c r="I1" s="12" t="s">
        <v>142</v>
      </c>
      <c r="J1" s="18" t="s">
        <v>96</v>
      </c>
      <c r="K1" s="18" t="s">
        <v>97</v>
      </c>
      <c r="L1" s="18" t="s">
        <v>98</v>
      </c>
      <c r="M1" s="18" t="s">
        <v>99</v>
      </c>
      <c r="N1" s="12" t="s">
        <v>100</v>
      </c>
      <c r="O1" s="12" t="s">
        <v>101</v>
      </c>
      <c r="P1" s="12" t="s">
        <v>102</v>
      </c>
      <c r="Q1" s="12" t="s">
        <v>101</v>
      </c>
      <c r="R1" s="12" t="s">
        <v>137</v>
      </c>
      <c r="S1" s="12" t="s">
        <v>103</v>
      </c>
      <c r="T1" s="12" t="s">
        <v>104</v>
      </c>
    </row>
    <row r="2" spans="1:20" ht="17" thickTop="1" x14ac:dyDescent="0.2">
      <c r="A2" s="7" t="s">
        <v>105</v>
      </c>
      <c r="B2" s="7" t="s">
        <v>144</v>
      </c>
      <c r="C2" s="7" t="s">
        <v>184</v>
      </c>
      <c r="D2" s="2" t="s">
        <v>135</v>
      </c>
      <c r="E2" s="8" t="s">
        <v>5</v>
      </c>
      <c r="F2" s="8" t="s">
        <v>6</v>
      </c>
      <c r="G2" s="8" t="s">
        <v>7</v>
      </c>
      <c r="H2" s="9">
        <v>6.5982939999999992</v>
      </c>
      <c r="I2" s="13">
        <v>1995</v>
      </c>
      <c r="J2" s="17">
        <v>159.00011669274323</v>
      </c>
      <c r="K2" s="17">
        <v>162.96321968196929</v>
      </c>
      <c r="L2" s="17">
        <v>199.39371970002898</v>
      </c>
      <c r="M2" s="17">
        <v>206.6281414196655</v>
      </c>
      <c r="N2" s="13">
        <v>11804</v>
      </c>
      <c r="O2" s="13">
        <v>2005</v>
      </c>
      <c r="P2" s="13">
        <v>12230</v>
      </c>
      <c r="Q2" s="13">
        <v>2005</v>
      </c>
      <c r="R2" s="13"/>
      <c r="S2" s="7">
        <v>8138</v>
      </c>
      <c r="T2" s="5">
        <v>2000</v>
      </c>
    </row>
    <row r="3" spans="1:20" x14ac:dyDescent="0.2">
      <c r="A3" s="7" t="s">
        <v>106</v>
      </c>
      <c r="B3" s="7" t="s">
        <v>145</v>
      </c>
      <c r="C3" s="7" t="s">
        <v>185</v>
      </c>
      <c r="D3" s="2" t="s">
        <v>8</v>
      </c>
      <c r="E3" s="8" t="s">
        <v>9</v>
      </c>
      <c r="F3" s="8" t="s">
        <v>10</v>
      </c>
      <c r="G3" s="8" t="s">
        <v>11</v>
      </c>
      <c r="H3" s="9">
        <v>15.449663999999999</v>
      </c>
      <c r="I3" s="13">
        <v>1994</v>
      </c>
      <c r="J3" s="17">
        <v>626.87347084565761</v>
      </c>
      <c r="K3" s="17">
        <v>750.61316603925798</v>
      </c>
      <c r="L3" s="17">
        <v>693.84512621863337</v>
      </c>
      <c r="M3" s="17">
        <v>658.11509529431601</v>
      </c>
      <c r="N3" s="13">
        <v>34800</v>
      </c>
      <c r="O3" s="13">
        <v>2005</v>
      </c>
      <c r="P3" s="13">
        <v>47800</v>
      </c>
      <c r="Q3" s="13">
        <v>2005</v>
      </c>
      <c r="R3" s="13" t="s">
        <v>138</v>
      </c>
      <c r="S3" s="7">
        <v>16097</v>
      </c>
      <c r="T3" s="5">
        <v>1994</v>
      </c>
    </row>
    <row r="4" spans="1:20" x14ac:dyDescent="0.2">
      <c r="A4" s="7" t="s">
        <v>107</v>
      </c>
      <c r="B4" s="7" t="s">
        <v>146</v>
      </c>
      <c r="C4" s="7" t="s">
        <v>186</v>
      </c>
      <c r="D4" s="3" t="s">
        <v>12</v>
      </c>
      <c r="E4" s="8" t="s">
        <v>13</v>
      </c>
      <c r="F4" s="8" t="s">
        <v>10</v>
      </c>
      <c r="G4" s="8" t="s">
        <v>11</v>
      </c>
      <c r="H4" s="9">
        <v>9.6560400000000008</v>
      </c>
      <c r="I4" s="13">
        <v>2002</v>
      </c>
      <c r="J4" s="17">
        <v>626.50519642342135</v>
      </c>
      <c r="K4" s="17">
        <v>617.03928633927649</v>
      </c>
      <c r="L4" s="17">
        <v>708.75893786582651</v>
      </c>
      <c r="M4" s="17">
        <v>658.76342835302307</v>
      </c>
      <c r="N4" s="16">
        <v>17033</v>
      </c>
      <c r="O4" s="16">
        <v>2010</v>
      </c>
      <c r="P4" s="16">
        <v>17033</v>
      </c>
      <c r="Q4" s="16">
        <v>2010</v>
      </c>
      <c r="R4" s="13" t="s">
        <v>138</v>
      </c>
      <c r="S4" s="7">
        <v>12090</v>
      </c>
      <c r="T4" s="5">
        <v>2002</v>
      </c>
    </row>
    <row r="5" spans="1:20" x14ac:dyDescent="0.2">
      <c r="A5" s="7" t="s">
        <v>108</v>
      </c>
      <c r="B5" s="7" t="s">
        <v>147</v>
      </c>
      <c r="C5" s="7" t="s">
        <v>187</v>
      </c>
      <c r="D5" s="4" t="s">
        <v>136</v>
      </c>
      <c r="E5" s="10" t="s">
        <v>15</v>
      </c>
      <c r="F5" s="10" t="s">
        <v>10</v>
      </c>
      <c r="G5" s="10" t="s">
        <v>11</v>
      </c>
      <c r="H5" s="9">
        <v>30.770580800000001</v>
      </c>
      <c r="I5" s="13">
        <v>2010</v>
      </c>
      <c r="J5" s="17">
        <v>2129.0356473597531</v>
      </c>
      <c r="K5" s="17">
        <v>2059.5646739026188</v>
      </c>
      <c r="L5" s="17">
        <v>1747.1857783912824</v>
      </c>
      <c r="M5" s="17">
        <v>1747.1857783912824</v>
      </c>
      <c r="N5" s="13">
        <v>40300</v>
      </c>
      <c r="O5" s="13">
        <v>2010</v>
      </c>
      <c r="P5" s="13">
        <v>40300</v>
      </c>
      <c r="Q5" s="13">
        <v>2010</v>
      </c>
      <c r="R5" s="13"/>
      <c r="S5" s="7">
        <v>33000</v>
      </c>
      <c r="T5" s="5">
        <v>2010</v>
      </c>
    </row>
    <row r="6" spans="1:20" x14ac:dyDescent="0.2">
      <c r="A6" s="7">
        <v>1</v>
      </c>
      <c r="B6" s="7" t="s">
        <v>148</v>
      </c>
      <c r="C6" s="7" t="s">
        <v>188</v>
      </c>
      <c r="D6" s="2" t="s">
        <v>16</v>
      </c>
      <c r="E6" s="11" t="s">
        <v>17</v>
      </c>
      <c r="F6" s="8" t="s">
        <v>10</v>
      </c>
      <c r="G6" s="8" t="s">
        <v>11</v>
      </c>
      <c r="H6" s="9">
        <v>14.966862000000001</v>
      </c>
      <c r="I6" s="13">
        <v>2012</v>
      </c>
      <c r="J6" s="17">
        <v>984.07371260664354</v>
      </c>
      <c r="K6" s="17">
        <v>850.77289097865196</v>
      </c>
      <c r="M6" s="17">
        <v>1062.1917973291297</v>
      </c>
      <c r="N6" s="13"/>
      <c r="O6" s="13"/>
      <c r="P6" s="16">
        <v>7853</v>
      </c>
      <c r="Q6" s="16">
        <v>2030</v>
      </c>
      <c r="R6" s="13"/>
      <c r="T6" s="5">
        <v>2012</v>
      </c>
    </row>
    <row r="7" spans="1:20" x14ac:dyDescent="0.2">
      <c r="A7" s="7" t="s">
        <v>109</v>
      </c>
      <c r="B7" s="7" t="s">
        <v>149</v>
      </c>
      <c r="C7" s="7" t="s">
        <v>189</v>
      </c>
      <c r="D7" s="2" t="s">
        <v>18</v>
      </c>
      <c r="E7" s="8" t="s">
        <v>19</v>
      </c>
      <c r="F7" s="8" t="s">
        <v>20</v>
      </c>
      <c r="G7" s="8" t="s">
        <v>21</v>
      </c>
      <c r="H7" s="9">
        <v>19.473013999999999</v>
      </c>
      <c r="I7" s="13">
        <v>2013</v>
      </c>
      <c r="J7" s="17">
        <v>745.68464906184875</v>
      </c>
      <c r="K7" s="17">
        <v>741.16534815844352</v>
      </c>
      <c r="L7" s="17">
        <v>804.91678689028936</v>
      </c>
      <c r="M7" s="17">
        <v>825.85392874581714</v>
      </c>
      <c r="N7" s="13">
        <v>24900</v>
      </c>
      <c r="O7" s="13">
        <v>2013</v>
      </c>
      <c r="P7" s="13">
        <v>19300</v>
      </c>
      <c r="Q7" s="13">
        <v>2013</v>
      </c>
      <c r="R7" s="13"/>
      <c r="S7" s="7">
        <v>11950</v>
      </c>
      <c r="T7" s="5">
        <v>2013</v>
      </c>
    </row>
    <row r="8" spans="1:20" x14ac:dyDescent="0.2">
      <c r="A8" s="7" t="s">
        <v>110</v>
      </c>
      <c r="B8" s="7" t="s">
        <v>150</v>
      </c>
      <c r="C8" s="7" t="s">
        <v>190</v>
      </c>
      <c r="D8" s="2" t="s">
        <v>22</v>
      </c>
      <c r="E8" s="8" t="s">
        <v>23</v>
      </c>
      <c r="F8" s="8" t="s">
        <v>20</v>
      </c>
      <c r="G8" s="8" t="s">
        <v>21</v>
      </c>
      <c r="H8" s="9">
        <v>14.001257999999998</v>
      </c>
      <c r="I8" s="15">
        <v>1999</v>
      </c>
      <c r="J8" s="17">
        <v>375.79793336500791</v>
      </c>
      <c r="K8" s="17">
        <v>279.35697949250817</v>
      </c>
      <c r="L8" s="17">
        <v>287.76556371004068</v>
      </c>
      <c r="M8" s="17">
        <v>289.06693426384521</v>
      </c>
      <c r="N8" s="13">
        <v>22000</v>
      </c>
      <c r="O8" s="13">
        <v>2015</v>
      </c>
      <c r="P8" s="13">
        <v>22000</v>
      </c>
      <c r="Q8" s="13">
        <v>2015</v>
      </c>
      <c r="R8" s="13"/>
      <c r="S8" s="7">
        <v>17442</v>
      </c>
      <c r="T8" s="6">
        <v>2000</v>
      </c>
    </row>
    <row r="9" spans="1:20" x14ac:dyDescent="0.2">
      <c r="A9" s="7" t="s">
        <v>108</v>
      </c>
      <c r="B9" s="7" t="s">
        <v>151</v>
      </c>
      <c r="C9" s="7" t="s">
        <v>191</v>
      </c>
      <c r="D9" s="2" t="s">
        <v>14</v>
      </c>
      <c r="E9" s="8" t="s">
        <v>24</v>
      </c>
      <c r="F9" s="8" t="s">
        <v>20</v>
      </c>
      <c r="G9" s="8" t="s">
        <v>21</v>
      </c>
      <c r="H9" s="9">
        <v>30.770580800000001</v>
      </c>
      <c r="I9" s="13">
        <v>2006</v>
      </c>
      <c r="J9" s="17">
        <v>0</v>
      </c>
      <c r="K9" s="17">
        <v>1221.7949976995042</v>
      </c>
      <c r="L9" s="17">
        <v>1181.912452606342</v>
      </c>
      <c r="M9" s="17">
        <v>1181.912452606342</v>
      </c>
      <c r="N9" s="13">
        <v>29600</v>
      </c>
      <c r="O9" s="13">
        <v>2020</v>
      </c>
      <c r="P9" s="13">
        <v>38100</v>
      </c>
      <c r="Q9" s="13">
        <v>2020</v>
      </c>
      <c r="R9" s="13" t="s">
        <v>139</v>
      </c>
      <c r="S9" s="7">
        <v>26192</v>
      </c>
      <c r="T9" s="5">
        <v>2006</v>
      </c>
    </row>
    <row r="10" spans="1:20" x14ac:dyDescent="0.2">
      <c r="A10" s="7" t="s">
        <v>111</v>
      </c>
      <c r="B10" s="7" t="s">
        <v>152</v>
      </c>
      <c r="C10" s="7" t="s">
        <v>192</v>
      </c>
      <c r="D10" s="2" t="s">
        <v>25</v>
      </c>
      <c r="E10" s="8" t="s">
        <v>13</v>
      </c>
      <c r="F10" s="8" t="s">
        <v>10</v>
      </c>
      <c r="G10" s="8" t="s">
        <v>26</v>
      </c>
      <c r="H10" s="9">
        <v>8.4651283999999993</v>
      </c>
      <c r="I10" s="13">
        <v>2013</v>
      </c>
      <c r="J10" s="17">
        <v>474.52948751866876</v>
      </c>
      <c r="K10" s="17">
        <v>474.61991017320531</v>
      </c>
      <c r="L10" s="17">
        <v>760.71615408417506</v>
      </c>
      <c r="M10" s="17">
        <v>699.06790306512119</v>
      </c>
      <c r="N10" s="13">
        <v>17400</v>
      </c>
      <c r="O10" s="13">
        <v>2013</v>
      </c>
      <c r="P10" s="13">
        <v>17400</v>
      </c>
      <c r="Q10" s="13">
        <v>2013</v>
      </c>
      <c r="R10" s="13"/>
      <c r="S10" s="7">
        <v>1400</v>
      </c>
      <c r="T10" s="5">
        <v>2013</v>
      </c>
    </row>
    <row r="11" spans="1:20" x14ac:dyDescent="0.2">
      <c r="A11" s="7" t="s">
        <v>108</v>
      </c>
      <c r="B11" s="7" t="s">
        <v>153</v>
      </c>
      <c r="C11" s="7" t="s">
        <v>193</v>
      </c>
      <c r="D11" s="2" t="s">
        <v>14</v>
      </c>
      <c r="E11" s="8" t="s">
        <v>27</v>
      </c>
      <c r="F11" s="8" t="s">
        <v>10</v>
      </c>
      <c r="G11" s="8" t="s">
        <v>26</v>
      </c>
      <c r="H11" s="9">
        <v>30.770580800000001</v>
      </c>
      <c r="I11" s="13">
        <v>2015</v>
      </c>
      <c r="J11" s="17">
        <v>485.07458724130584</v>
      </c>
      <c r="K11" s="17">
        <v>442.22585796370583</v>
      </c>
      <c r="L11" s="17">
        <v>871.15670816861677</v>
      </c>
      <c r="M11" s="17">
        <v>832.28619888025332</v>
      </c>
      <c r="N11" s="13">
        <v>17200</v>
      </c>
      <c r="O11" s="13">
        <v>2015</v>
      </c>
      <c r="P11" s="13">
        <v>17200</v>
      </c>
      <c r="Q11" s="13">
        <v>2015</v>
      </c>
      <c r="R11" s="13"/>
      <c r="S11" s="7">
        <v>5600</v>
      </c>
      <c r="T11" s="5">
        <v>2015</v>
      </c>
    </row>
    <row r="12" spans="1:20" x14ac:dyDescent="0.2">
      <c r="A12" s="7" t="s">
        <v>112</v>
      </c>
      <c r="B12" s="7" t="s">
        <v>154</v>
      </c>
      <c r="C12" s="7" t="s">
        <v>194</v>
      </c>
      <c r="D12" s="2" t="s">
        <v>28</v>
      </c>
      <c r="E12" s="8" t="s">
        <v>9</v>
      </c>
      <c r="F12" s="8" t="s">
        <v>29</v>
      </c>
      <c r="G12" s="8" t="s">
        <v>30</v>
      </c>
      <c r="H12" s="9">
        <v>18.668343999999998</v>
      </c>
      <c r="I12" s="13">
        <v>2003</v>
      </c>
      <c r="J12" s="17">
        <v>492.02205911465541</v>
      </c>
      <c r="K12" s="17">
        <v>529.91163185592586</v>
      </c>
      <c r="L12" s="17">
        <v>755.49926038505146</v>
      </c>
      <c r="M12" s="17">
        <v>1043.4698304869769</v>
      </c>
      <c r="N12" s="13">
        <v>37000</v>
      </c>
      <c r="O12" s="13">
        <v>2000</v>
      </c>
      <c r="P12" s="16">
        <f>58500/2</f>
        <v>29250</v>
      </c>
      <c r="Q12" s="13">
        <v>2020</v>
      </c>
      <c r="R12" s="13" t="s">
        <v>138</v>
      </c>
      <c r="S12" s="7">
        <v>15623</v>
      </c>
      <c r="T12" s="5">
        <v>2004</v>
      </c>
    </row>
    <row r="13" spans="1:20" x14ac:dyDescent="0.2">
      <c r="A13" s="7" t="s">
        <v>113</v>
      </c>
      <c r="B13" s="7" t="s">
        <v>155</v>
      </c>
      <c r="C13" s="7" t="s">
        <v>195</v>
      </c>
      <c r="D13" s="2" t="s">
        <v>31</v>
      </c>
      <c r="E13" s="8" t="s">
        <v>15</v>
      </c>
      <c r="F13" s="8" t="s">
        <v>29</v>
      </c>
      <c r="G13" s="8" t="s">
        <v>32</v>
      </c>
      <c r="H13" s="9">
        <v>17.702739999999999</v>
      </c>
      <c r="I13" s="13">
        <v>2014</v>
      </c>
      <c r="J13" s="17">
        <v>1057.1850768105344</v>
      </c>
      <c r="K13" s="17">
        <v>1151.4507461594735</v>
      </c>
      <c r="L13" s="17">
        <v>1095.3883996741768</v>
      </c>
      <c r="M13" s="17">
        <v>1059.9055988487855</v>
      </c>
      <c r="N13" s="13">
        <v>34300</v>
      </c>
      <c r="O13" s="13">
        <v>2014</v>
      </c>
      <c r="P13" s="16">
        <v>41690</v>
      </c>
      <c r="Q13" s="13">
        <v>2014</v>
      </c>
      <c r="R13" s="13" t="s">
        <v>138</v>
      </c>
      <c r="S13" s="7">
        <v>40400</v>
      </c>
      <c r="T13" s="5">
        <v>2014</v>
      </c>
    </row>
    <row r="14" spans="1:20" x14ac:dyDescent="0.2">
      <c r="A14" s="7" t="s">
        <v>114</v>
      </c>
      <c r="B14" s="7" t="s">
        <v>156</v>
      </c>
      <c r="C14" s="7" t="s">
        <v>196</v>
      </c>
      <c r="D14" s="2" t="s">
        <v>33</v>
      </c>
      <c r="E14" s="8" t="s">
        <v>5</v>
      </c>
      <c r="F14" s="8" t="s">
        <v>34</v>
      </c>
      <c r="G14" s="8" t="s">
        <v>35</v>
      </c>
      <c r="H14" s="9">
        <v>24.816022799999999</v>
      </c>
      <c r="I14" s="13">
        <v>2000</v>
      </c>
      <c r="J14" s="17">
        <v>1682.1243514892531</v>
      </c>
      <c r="K14" s="17">
        <v>1920.3615670939448</v>
      </c>
      <c r="L14" s="17">
        <v>2898.5265940766544</v>
      </c>
      <c r="M14" s="17">
        <v>2763.5137918118462</v>
      </c>
      <c r="N14" s="13">
        <v>31300</v>
      </c>
      <c r="O14" s="13">
        <v>2010</v>
      </c>
      <c r="P14" s="13">
        <v>31300</v>
      </c>
      <c r="Q14" s="13">
        <v>2010</v>
      </c>
      <c r="R14" s="13"/>
      <c r="S14" s="7">
        <v>3808</v>
      </c>
      <c r="T14" s="5">
        <v>2000</v>
      </c>
    </row>
    <row r="15" spans="1:20" x14ac:dyDescent="0.2">
      <c r="A15" s="7" t="s">
        <v>115</v>
      </c>
      <c r="B15" s="7" t="s">
        <v>157</v>
      </c>
      <c r="C15" s="7" t="s">
        <v>197</v>
      </c>
      <c r="D15" s="2" t="s">
        <v>36</v>
      </c>
      <c r="E15" s="8" t="s">
        <v>5</v>
      </c>
      <c r="F15" s="8" t="s">
        <v>34</v>
      </c>
      <c r="G15" s="8" t="s">
        <v>37</v>
      </c>
      <c r="H15" s="9">
        <v>1.6</v>
      </c>
      <c r="I15" s="13">
        <v>2004</v>
      </c>
      <c r="J15" s="17">
        <v>249.35249721706862</v>
      </c>
      <c r="K15" s="17">
        <v>245.83356981192222</v>
      </c>
      <c r="L15" s="17">
        <v>302.44126567944244</v>
      </c>
      <c r="M15" s="17">
        <v>297.96391286508435</v>
      </c>
      <c r="N15" s="13">
        <v>12500</v>
      </c>
      <c r="O15" s="13">
        <v>2015</v>
      </c>
      <c r="P15" s="13">
        <v>12500</v>
      </c>
      <c r="Q15" s="13">
        <v>2015</v>
      </c>
      <c r="R15" s="13"/>
      <c r="S15" s="7">
        <v>1826</v>
      </c>
      <c r="T15" s="5">
        <v>2007</v>
      </c>
    </row>
    <row r="16" spans="1:20" x14ac:dyDescent="0.2">
      <c r="A16" s="7" t="s">
        <v>116</v>
      </c>
      <c r="B16" s="7" t="s">
        <v>158</v>
      </c>
      <c r="C16" s="7" t="s">
        <v>198</v>
      </c>
      <c r="D16" s="2" t="s">
        <v>38</v>
      </c>
      <c r="E16" s="8" t="s">
        <v>5</v>
      </c>
      <c r="F16" s="8" t="s">
        <v>39</v>
      </c>
      <c r="G16" s="8" t="s">
        <v>40</v>
      </c>
      <c r="H16" s="9">
        <v>11.8125556</v>
      </c>
      <c r="I16" s="15">
        <v>2012</v>
      </c>
      <c r="K16" s="17">
        <v>250.08536500106683</v>
      </c>
      <c r="L16" s="17">
        <v>469.25273179784665</v>
      </c>
      <c r="M16" s="17">
        <v>371.29504382193801</v>
      </c>
      <c r="N16" s="13"/>
      <c r="O16" s="13"/>
      <c r="P16" s="13">
        <v>5900</v>
      </c>
      <c r="Q16" s="13">
        <v>2026</v>
      </c>
      <c r="R16" s="13" t="s">
        <v>138</v>
      </c>
      <c r="T16" s="6">
        <v>2012</v>
      </c>
    </row>
    <row r="17" spans="1:20" x14ac:dyDescent="0.2">
      <c r="A17" s="7" t="s">
        <v>117</v>
      </c>
      <c r="B17" s="7" t="s">
        <v>159</v>
      </c>
      <c r="C17" s="7" t="s">
        <v>199</v>
      </c>
      <c r="D17" s="2" t="s">
        <v>41</v>
      </c>
      <c r="E17" s="8" t="s">
        <v>5</v>
      </c>
      <c r="F17" s="8" t="s">
        <v>42</v>
      </c>
      <c r="G17" s="8" t="s">
        <v>43</v>
      </c>
      <c r="H17" s="9">
        <v>32.669601999999998</v>
      </c>
      <c r="I17" s="13">
        <v>2008</v>
      </c>
      <c r="J17" s="17">
        <v>1597.660498870483</v>
      </c>
      <c r="K17" s="17">
        <v>1485.7981122374335</v>
      </c>
      <c r="L17" s="17">
        <v>1576.9677395757135</v>
      </c>
      <c r="M17" s="17">
        <v>1654.9980666736337</v>
      </c>
      <c r="N17" s="13"/>
      <c r="O17" s="13"/>
      <c r="P17" s="13">
        <v>48004</v>
      </c>
      <c r="Q17" s="13">
        <v>2020</v>
      </c>
      <c r="R17" s="13" t="s">
        <v>138</v>
      </c>
      <c r="S17" s="7">
        <v>40700</v>
      </c>
      <c r="T17" s="5">
        <v>2008</v>
      </c>
    </row>
    <row r="18" spans="1:20" x14ac:dyDescent="0.2">
      <c r="A18" s="7" t="s">
        <v>118</v>
      </c>
      <c r="B18" s="7" t="s">
        <v>160</v>
      </c>
      <c r="C18" s="7" t="s">
        <v>200</v>
      </c>
      <c r="D18" s="2" t="s">
        <v>44</v>
      </c>
      <c r="E18" s="8" t="s">
        <v>45</v>
      </c>
      <c r="F18" s="8" t="s">
        <v>46</v>
      </c>
      <c r="G18" s="8" t="s">
        <v>47</v>
      </c>
      <c r="H18" s="9">
        <v>40.233499999999999</v>
      </c>
      <c r="I18" s="15">
        <v>2011</v>
      </c>
      <c r="J18" s="17">
        <v>469.68745857213304</v>
      </c>
      <c r="K18" s="17">
        <v>469.68745857213304</v>
      </c>
      <c r="L18" s="17">
        <v>649.29864111407983</v>
      </c>
      <c r="M18" s="17">
        <v>619.1827486690853</v>
      </c>
      <c r="N18" s="13">
        <v>10000</v>
      </c>
      <c r="O18" s="13">
        <v>2010</v>
      </c>
      <c r="P18" s="13">
        <v>14300</v>
      </c>
      <c r="Q18" s="13">
        <v>2010</v>
      </c>
      <c r="R18" s="13"/>
      <c r="S18" s="7">
        <v>11000</v>
      </c>
      <c r="T18" s="6">
        <v>2011</v>
      </c>
    </row>
    <row r="19" spans="1:20" x14ac:dyDescent="0.2">
      <c r="A19" s="7" t="s">
        <v>119</v>
      </c>
      <c r="B19" s="7" t="s">
        <v>161</v>
      </c>
      <c r="C19" s="7" t="s">
        <v>201</v>
      </c>
      <c r="D19" s="2" t="s">
        <v>48</v>
      </c>
      <c r="E19" s="8" t="s">
        <v>49</v>
      </c>
      <c r="F19" s="8" t="s">
        <v>50</v>
      </c>
      <c r="G19" s="8" t="s">
        <v>51</v>
      </c>
      <c r="H19" s="9">
        <v>13.357522000000001</v>
      </c>
      <c r="I19" s="13">
        <v>2009</v>
      </c>
      <c r="K19" s="17">
        <v>701.70429750330914</v>
      </c>
      <c r="L19" s="17">
        <v>727.51355710203893</v>
      </c>
      <c r="M19" s="17">
        <v>727.51355710203893</v>
      </c>
      <c r="N19" s="13">
        <v>30400</v>
      </c>
      <c r="O19" s="13">
        <v>2009</v>
      </c>
      <c r="P19" s="13">
        <v>25300</v>
      </c>
      <c r="Q19" s="13">
        <v>2009</v>
      </c>
      <c r="R19" s="13"/>
      <c r="S19" s="7">
        <v>24000</v>
      </c>
      <c r="T19" s="5">
        <v>2009</v>
      </c>
    </row>
    <row r="20" spans="1:20" x14ac:dyDescent="0.2">
      <c r="A20" s="7" t="s">
        <v>120</v>
      </c>
      <c r="B20" s="7" t="s">
        <v>162</v>
      </c>
      <c r="C20" s="7" t="s">
        <v>202</v>
      </c>
      <c r="D20" s="2" t="s">
        <v>52</v>
      </c>
      <c r="E20" s="8" t="s">
        <v>53</v>
      </c>
      <c r="F20" s="8" t="s">
        <v>50</v>
      </c>
      <c r="G20" s="8" t="s">
        <v>51</v>
      </c>
      <c r="H20" s="9">
        <v>11.748182</v>
      </c>
      <c r="I20" s="13">
        <v>2015</v>
      </c>
      <c r="J20" s="17">
        <v>1860.722645430729</v>
      </c>
      <c r="K20" s="17">
        <v>1923.5198196101464</v>
      </c>
      <c r="L20" s="17">
        <v>1703.4429070488702</v>
      </c>
      <c r="M20" s="17">
        <v>1672.5751496728169</v>
      </c>
      <c r="N20" s="13">
        <v>17000</v>
      </c>
      <c r="O20" s="13">
        <v>2015</v>
      </c>
      <c r="P20" s="13">
        <v>22800</v>
      </c>
      <c r="Q20" s="13">
        <v>2015</v>
      </c>
      <c r="R20" s="13"/>
      <c r="S20" s="7">
        <v>11160</v>
      </c>
      <c r="T20" s="5">
        <v>2015</v>
      </c>
    </row>
    <row r="21" spans="1:20" x14ac:dyDescent="0.2">
      <c r="A21" s="11" t="s">
        <v>121</v>
      </c>
      <c r="B21" s="7" t="s">
        <v>163</v>
      </c>
      <c r="C21" s="7" t="s">
        <v>203</v>
      </c>
      <c r="D21" s="2" t="s">
        <v>54</v>
      </c>
      <c r="E21" s="8" t="s">
        <v>55</v>
      </c>
      <c r="F21" s="8" t="s">
        <v>50</v>
      </c>
      <c r="G21" s="8" t="s">
        <v>51</v>
      </c>
      <c r="H21" s="9">
        <v>10</v>
      </c>
      <c r="I21" s="13">
        <v>1996</v>
      </c>
      <c r="J21" s="17">
        <v>966.23131128466673</v>
      </c>
      <c r="K21" s="17">
        <v>1388.968307299968</v>
      </c>
      <c r="L21" s="17">
        <v>1531.4930403251512</v>
      </c>
      <c r="M21" s="17">
        <v>1665.3799107427478</v>
      </c>
      <c r="N21" s="13">
        <v>60314</v>
      </c>
      <c r="O21" s="13">
        <v>2005</v>
      </c>
      <c r="P21" s="13">
        <v>49448</v>
      </c>
      <c r="Q21" s="13">
        <v>2005</v>
      </c>
      <c r="R21" s="13"/>
      <c r="S21" s="7">
        <v>32724</v>
      </c>
      <c r="T21" s="5">
        <v>1998</v>
      </c>
    </row>
    <row r="22" spans="1:20" x14ac:dyDescent="0.2">
      <c r="A22" s="7" t="s">
        <v>122</v>
      </c>
      <c r="B22" s="7" t="s">
        <v>164</v>
      </c>
      <c r="C22" s="7" t="s">
        <v>204</v>
      </c>
      <c r="D22" s="2" t="s">
        <v>56</v>
      </c>
      <c r="E22" s="8" t="s">
        <v>57</v>
      </c>
      <c r="F22" s="8" t="s">
        <v>50</v>
      </c>
      <c r="G22" s="8" t="s">
        <v>51</v>
      </c>
      <c r="H22" s="9">
        <v>9.0605841999999992</v>
      </c>
      <c r="I22" s="13">
        <v>2004</v>
      </c>
      <c r="J22" s="17">
        <v>385.93970130698119</v>
      </c>
      <c r="K22" s="17">
        <v>477.91300930422784</v>
      </c>
      <c r="L22" s="17">
        <v>489.38206881533091</v>
      </c>
      <c r="M22" s="17">
        <v>464.23265384276021</v>
      </c>
      <c r="N22" s="13">
        <v>17030</v>
      </c>
      <c r="O22" s="13">
        <v>2015</v>
      </c>
      <c r="P22" s="13">
        <v>18860</v>
      </c>
      <c r="Q22" s="13">
        <v>2020</v>
      </c>
      <c r="R22" s="13"/>
      <c r="S22" s="7">
        <v>11035</v>
      </c>
      <c r="T22" s="5">
        <v>2005</v>
      </c>
    </row>
    <row r="23" spans="1:20" x14ac:dyDescent="0.2">
      <c r="A23" s="7" t="s">
        <v>123</v>
      </c>
      <c r="B23" s="7" t="s">
        <v>165</v>
      </c>
      <c r="C23" s="7" t="s">
        <v>205</v>
      </c>
      <c r="D23" s="2" t="s">
        <v>58</v>
      </c>
      <c r="E23" s="8" t="s">
        <v>9</v>
      </c>
      <c r="F23" s="8" t="s">
        <v>59</v>
      </c>
      <c r="G23" s="8" t="s">
        <v>60</v>
      </c>
      <c r="H23" s="9">
        <v>18.185542000000002</v>
      </c>
      <c r="I23" s="13">
        <v>2004</v>
      </c>
      <c r="J23" s="17">
        <v>312.51786914249283</v>
      </c>
      <c r="K23" s="17">
        <v>329.11661305718161</v>
      </c>
      <c r="L23" s="17">
        <v>340.82935847783216</v>
      </c>
      <c r="M23" s="17">
        <v>313.60092129180282</v>
      </c>
      <c r="N23" s="13">
        <v>12550</v>
      </c>
      <c r="O23" s="13">
        <v>2015</v>
      </c>
      <c r="P23" s="13">
        <v>12550</v>
      </c>
      <c r="Q23" s="13">
        <v>2015</v>
      </c>
      <c r="R23" s="13"/>
      <c r="S23" s="7">
        <v>8639</v>
      </c>
      <c r="T23" s="5">
        <v>2006</v>
      </c>
    </row>
    <row r="24" spans="1:20" x14ac:dyDescent="0.2">
      <c r="A24" s="7" t="s">
        <v>124</v>
      </c>
      <c r="B24" s="7" t="s">
        <v>166</v>
      </c>
      <c r="C24" s="7" t="s">
        <v>206</v>
      </c>
      <c r="D24" s="2" t="s">
        <v>61</v>
      </c>
      <c r="E24" s="8" t="s">
        <v>9</v>
      </c>
      <c r="F24" s="8" t="s">
        <v>59</v>
      </c>
      <c r="G24" s="8" t="s">
        <v>60</v>
      </c>
      <c r="H24" s="9">
        <v>11.136632799999999</v>
      </c>
      <c r="I24" s="13">
        <v>2014</v>
      </c>
      <c r="J24" s="17">
        <v>258.96721570144462</v>
      </c>
      <c r="K24" s="17">
        <v>308.95218060611683</v>
      </c>
      <c r="L24" s="17">
        <v>309.04374912437595</v>
      </c>
      <c r="M24" s="17">
        <v>309.04374912437595</v>
      </c>
      <c r="N24" s="13">
        <v>3600</v>
      </c>
      <c r="O24" s="13">
        <v>2014</v>
      </c>
      <c r="P24" s="13">
        <v>3600</v>
      </c>
      <c r="Q24" s="13">
        <v>2014</v>
      </c>
      <c r="R24" s="13"/>
      <c r="S24" s="7">
        <v>4300</v>
      </c>
      <c r="T24" s="5">
        <v>2014</v>
      </c>
    </row>
    <row r="25" spans="1:20" x14ac:dyDescent="0.2">
      <c r="A25" s="7">
        <v>2</v>
      </c>
      <c r="B25" s="7" t="s">
        <v>167</v>
      </c>
      <c r="C25" s="7" t="s">
        <v>207</v>
      </c>
      <c r="D25" s="2" t="s">
        <v>62</v>
      </c>
      <c r="E25" s="8" t="s">
        <v>63</v>
      </c>
      <c r="F25" s="8" t="s">
        <v>59</v>
      </c>
      <c r="G25" s="8" t="s">
        <v>60</v>
      </c>
      <c r="H25" s="9">
        <v>33.474271999999999</v>
      </c>
      <c r="I25" s="13">
        <v>2005</v>
      </c>
      <c r="K25" s="17">
        <v>305.36563411891012</v>
      </c>
      <c r="M25" s="17">
        <v>635.4810096010242</v>
      </c>
      <c r="N25" s="13"/>
      <c r="O25" s="13"/>
      <c r="P25" s="13"/>
      <c r="Q25" s="13"/>
      <c r="R25" s="13"/>
      <c r="T25" s="5">
        <v>2005</v>
      </c>
    </row>
    <row r="26" spans="1:20" x14ac:dyDescent="0.2">
      <c r="A26" s="7" t="s">
        <v>125</v>
      </c>
      <c r="B26" s="7" t="s">
        <v>168</v>
      </c>
      <c r="C26" s="7" t="s">
        <v>208</v>
      </c>
      <c r="D26" s="2" t="s">
        <v>64</v>
      </c>
      <c r="E26" s="8" t="s">
        <v>9</v>
      </c>
      <c r="F26" s="8" t="s">
        <v>65</v>
      </c>
      <c r="G26" s="8" t="s">
        <v>66</v>
      </c>
      <c r="H26" s="9">
        <v>24.1401</v>
      </c>
      <c r="I26" s="13">
        <v>1997</v>
      </c>
      <c r="J26" s="17">
        <v>550.8823960396046</v>
      </c>
      <c r="K26" s="17">
        <v>406.3097902363703</v>
      </c>
      <c r="L26" s="17">
        <v>494.9486655778598</v>
      </c>
      <c r="M26" s="17">
        <v>503.90076030526444</v>
      </c>
      <c r="N26" s="13">
        <v>26500</v>
      </c>
      <c r="O26" s="13">
        <v>2010</v>
      </c>
      <c r="P26" s="13">
        <v>23000</v>
      </c>
      <c r="Q26" s="13">
        <v>2010</v>
      </c>
      <c r="R26" s="13"/>
      <c r="S26" s="7">
        <v>19458</v>
      </c>
      <c r="T26" s="5">
        <v>1999</v>
      </c>
    </row>
    <row r="27" spans="1:20" x14ac:dyDescent="0.2">
      <c r="A27" s="7" t="s">
        <v>126</v>
      </c>
      <c r="B27" s="7" t="s">
        <v>169</v>
      </c>
      <c r="C27" s="7" t="s">
        <v>209</v>
      </c>
      <c r="D27" s="2" t="s">
        <v>67</v>
      </c>
      <c r="E27" s="8" t="s">
        <v>13</v>
      </c>
      <c r="F27" s="8" t="s">
        <v>65</v>
      </c>
      <c r="G27" s="8" t="s">
        <v>66</v>
      </c>
      <c r="H27" s="9">
        <v>17.059003999999998</v>
      </c>
      <c r="I27" s="13">
        <v>2011</v>
      </c>
      <c r="J27" s="17">
        <v>414.59591149739714</v>
      </c>
      <c r="K27" s="17">
        <v>608.49740395188337</v>
      </c>
      <c r="L27" s="17">
        <v>644.48009832288062</v>
      </c>
      <c r="M27" s="17">
        <v>614.36420587788632</v>
      </c>
      <c r="N27" s="13"/>
      <c r="O27" s="13"/>
      <c r="P27" s="13">
        <v>9500</v>
      </c>
      <c r="Q27" s="13">
        <v>2030</v>
      </c>
      <c r="R27" s="13"/>
      <c r="S27" s="7">
        <v>7400</v>
      </c>
      <c r="T27" s="5">
        <v>2011</v>
      </c>
    </row>
    <row r="28" spans="1:20" x14ac:dyDescent="0.2">
      <c r="A28" s="7" t="s">
        <v>127</v>
      </c>
      <c r="B28" s="7" t="s">
        <v>170</v>
      </c>
      <c r="C28" s="7" t="s">
        <v>210</v>
      </c>
      <c r="D28" s="2" t="s">
        <v>68</v>
      </c>
      <c r="E28" s="8" t="s">
        <v>9</v>
      </c>
      <c r="F28" s="8" t="s">
        <v>65</v>
      </c>
      <c r="G28" s="8" t="s">
        <v>66</v>
      </c>
      <c r="H28" s="9">
        <v>13.8</v>
      </c>
      <c r="I28" s="15">
        <v>2013</v>
      </c>
      <c r="J28" s="17">
        <v>246.83727073119698</v>
      </c>
      <c r="K28" s="17">
        <v>288.00201796825957</v>
      </c>
      <c r="L28" s="17">
        <v>225.65586222068805</v>
      </c>
      <c r="M28" s="17">
        <v>169.82348393928069</v>
      </c>
      <c r="N28" s="13">
        <v>2275</v>
      </c>
      <c r="O28" s="13">
        <v>2013</v>
      </c>
      <c r="P28" s="13">
        <v>3600</v>
      </c>
      <c r="Q28" s="13">
        <v>2013</v>
      </c>
      <c r="R28" s="13"/>
      <c r="S28" s="7">
        <v>3200</v>
      </c>
      <c r="T28" s="6">
        <v>2013</v>
      </c>
    </row>
    <row r="29" spans="1:20" x14ac:dyDescent="0.2">
      <c r="A29" s="7" t="s">
        <v>128</v>
      </c>
      <c r="B29" s="7" t="s">
        <v>171</v>
      </c>
      <c r="C29" s="7" t="s">
        <v>211</v>
      </c>
      <c r="D29" s="2" t="s">
        <v>69</v>
      </c>
      <c r="E29" s="8" t="s">
        <v>13</v>
      </c>
      <c r="F29" s="8" t="s">
        <v>65</v>
      </c>
      <c r="G29" s="8" t="s">
        <v>66</v>
      </c>
      <c r="H29" s="9">
        <v>2.4622902</v>
      </c>
      <c r="I29" s="15">
        <v>2002</v>
      </c>
      <c r="J29" s="17">
        <v>563.40617929117457</v>
      </c>
      <c r="K29" s="17">
        <v>558.32378281407352</v>
      </c>
      <c r="L29" s="17">
        <v>308.06567824878391</v>
      </c>
      <c r="M29" s="17">
        <v>289.38590118137603</v>
      </c>
      <c r="N29" s="13"/>
      <c r="O29" s="13"/>
      <c r="P29" s="13">
        <v>16761</v>
      </c>
      <c r="Q29" s="13">
        <v>2020</v>
      </c>
      <c r="R29" s="13" t="s">
        <v>138</v>
      </c>
      <c r="S29" s="7">
        <v>6842</v>
      </c>
      <c r="T29" s="6">
        <v>2002</v>
      </c>
    </row>
    <row r="30" spans="1:20" x14ac:dyDescent="0.2">
      <c r="A30" s="7" t="s">
        <v>129</v>
      </c>
      <c r="B30" s="7" t="s">
        <v>172</v>
      </c>
      <c r="C30" s="7" t="s">
        <v>212</v>
      </c>
      <c r="D30" s="2" t="s">
        <v>70</v>
      </c>
      <c r="E30" s="8" t="s">
        <v>17</v>
      </c>
      <c r="F30" s="8" t="s">
        <v>59</v>
      </c>
      <c r="G30" s="8" t="s">
        <v>71</v>
      </c>
      <c r="H30" s="9">
        <v>17.863674</v>
      </c>
      <c r="I30" s="13">
        <v>1989</v>
      </c>
      <c r="J30" s="17">
        <v>287.29322891566267</v>
      </c>
      <c r="K30" s="17">
        <v>287.29322891566267</v>
      </c>
      <c r="L30" s="17">
        <v>242.02483258572201</v>
      </c>
      <c r="M30" s="17">
        <v>224.4844850094112</v>
      </c>
      <c r="N30" s="13">
        <v>21600</v>
      </c>
      <c r="O30" s="13">
        <v>2000</v>
      </c>
      <c r="P30" s="13">
        <v>21600</v>
      </c>
      <c r="Q30" s="13">
        <v>2000</v>
      </c>
      <c r="R30" s="13"/>
      <c r="S30" s="7">
        <v>22020</v>
      </c>
      <c r="T30" s="5">
        <v>1998</v>
      </c>
    </row>
    <row r="31" spans="1:20" x14ac:dyDescent="0.2">
      <c r="A31" s="7">
        <v>3</v>
      </c>
      <c r="B31" s="7" t="s">
        <v>173</v>
      </c>
      <c r="C31" s="7" t="s">
        <v>213</v>
      </c>
      <c r="D31" s="2" t="s">
        <v>72</v>
      </c>
      <c r="E31" s="8" t="s">
        <v>15</v>
      </c>
      <c r="F31" s="8" t="s">
        <v>59</v>
      </c>
      <c r="G31" s="8" t="s">
        <v>71</v>
      </c>
      <c r="H31" s="9">
        <v>9.4951059999999998</v>
      </c>
      <c r="I31" s="13">
        <v>2005</v>
      </c>
      <c r="J31" s="17">
        <v>488.54260050430076</v>
      </c>
      <c r="K31" s="17">
        <v>568.02584507491235</v>
      </c>
      <c r="L31" s="17">
        <v>598.01815532323462</v>
      </c>
      <c r="M31" s="17">
        <v>688.02613150842762</v>
      </c>
      <c r="N31" s="16">
        <v>10785</v>
      </c>
      <c r="O31" s="16">
        <v>2015</v>
      </c>
      <c r="P31" s="16">
        <v>10785</v>
      </c>
      <c r="Q31" s="16">
        <v>2015</v>
      </c>
      <c r="R31" s="13"/>
      <c r="S31" s="7">
        <v>7572</v>
      </c>
      <c r="T31" s="5">
        <v>2005</v>
      </c>
    </row>
    <row r="32" spans="1:20" x14ac:dyDescent="0.2">
      <c r="A32" s="7">
        <v>4</v>
      </c>
      <c r="B32" s="7" t="s">
        <v>174</v>
      </c>
      <c r="C32" s="7" t="s">
        <v>214</v>
      </c>
      <c r="D32" s="2" t="s">
        <v>73</v>
      </c>
      <c r="E32" s="8" t="s">
        <v>9</v>
      </c>
      <c r="F32" s="8" t="s">
        <v>59</v>
      </c>
      <c r="G32" s="8" t="s">
        <v>71</v>
      </c>
      <c r="H32" s="9">
        <v>17.541806000000001</v>
      </c>
      <c r="I32" s="13">
        <v>2003</v>
      </c>
      <c r="J32" s="17">
        <v>681.68895415132465</v>
      </c>
      <c r="K32" s="17">
        <v>170.57714533993703</v>
      </c>
      <c r="L32" s="17">
        <v>193.69887451868644</v>
      </c>
      <c r="M32" s="17">
        <v>193.69887451868644</v>
      </c>
      <c r="N32" s="13"/>
      <c r="O32" s="13"/>
      <c r="P32" s="13"/>
      <c r="Q32" s="13"/>
      <c r="R32" s="13"/>
      <c r="T32" s="5">
        <v>2003</v>
      </c>
    </row>
    <row r="33" spans="1:20" x14ac:dyDescent="0.2">
      <c r="A33" s="7">
        <v>5</v>
      </c>
      <c r="B33" s="7" t="s">
        <v>175</v>
      </c>
      <c r="C33" s="7" t="s">
        <v>215</v>
      </c>
      <c r="D33" s="2" t="s">
        <v>74</v>
      </c>
      <c r="E33" s="8" t="s">
        <v>75</v>
      </c>
      <c r="F33" s="8" t="s">
        <v>59</v>
      </c>
      <c r="G33" s="8" t="s">
        <v>76</v>
      </c>
      <c r="H33" s="9">
        <v>8.6999999999999993</v>
      </c>
      <c r="I33" s="13">
        <v>2007</v>
      </c>
      <c r="J33" s="17">
        <v>678.14744867615036</v>
      </c>
      <c r="K33" s="17">
        <v>679.79842518940768</v>
      </c>
      <c r="L33" s="17">
        <v>729.10321947310274</v>
      </c>
      <c r="M33" s="17">
        <v>729.10321947310274</v>
      </c>
      <c r="N33" s="13"/>
      <c r="O33" s="13"/>
      <c r="P33" s="13"/>
      <c r="Q33" s="13"/>
      <c r="R33" s="13"/>
      <c r="T33" s="5">
        <v>2007</v>
      </c>
    </row>
    <row r="34" spans="1:20" x14ac:dyDescent="0.2">
      <c r="A34" s="7" t="s">
        <v>130</v>
      </c>
      <c r="B34" s="7" t="s">
        <v>176</v>
      </c>
      <c r="C34" s="7" t="s">
        <v>216</v>
      </c>
      <c r="D34" s="2" t="s">
        <v>77</v>
      </c>
      <c r="E34" s="8" t="s">
        <v>15</v>
      </c>
      <c r="F34" s="8" t="s">
        <v>59</v>
      </c>
      <c r="G34" s="8" t="s">
        <v>78</v>
      </c>
      <c r="H34" s="9">
        <v>32.186799999999998</v>
      </c>
      <c r="I34" s="13">
        <v>1987</v>
      </c>
      <c r="J34" s="17">
        <v>623.75926676104723</v>
      </c>
      <c r="K34" s="17">
        <v>807.1960323795181</v>
      </c>
      <c r="L34" s="17">
        <v>942.46200396039694</v>
      </c>
      <c r="M34" s="17">
        <v>906.92889702970399</v>
      </c>
      <c r="N34" s="13">
        <v>41200</v>
      </c>
      <c r="O34" s="13">
        <v>1990</v>
      </c>
      <c r="P34" s="13">
        <v>41200</v>
      </c>
      <c r="Q34" s="13">
        <v>1990</v>
      </c>
      <c r="R34" s="13"/>
      <c r="S34" s="7">
        <v>7974</v>
      </c>
      <c r="T34" s="5">
        <v>1990</v>
      </c>
    </row>
    <row r="35" spans="1:20" x14ac:dyDescent="0.2">
      <c r="A35" s="7" t="s">
        <v>131</v>
      </c>
      <c r="B35" s="7" t="s">
        <v>177</v>
      </c>
      <c r="C35" s="7" t="s">
        <v>217</v>
      </c>
      <c r="D35" s="2" t="s">
        <v>79</v>
      </c>
      <c r="E35" s="8" t="s">
        <v>15</v>
      </c>
      <c r="F35" s="8" t="s">
        <v>59</v>
      </c>
      <c r="G35" s="8" t="s">
        <v>80</v>
      </c>
      <c r="H35" s="9">
        <v>12.230983999999999</v>
      </c>
      <c r="I35" s="15">
        <v>1997</v>
      </c>
      <c r="J35" s="17">
        <v>781.28032596800244</v>
      </c>
      <c r="K35" s="17">
        <v>779.9067043920677</v>
      </c>
      <c r="L35" s="17">
        <v>584.25478439414417</v>
      </c>
      <c r="M35" s="17">
        <v>548.97329062402684</v>
      </c>
      <c r="N35" s="13">
        <v>14875</v>
      </c>
      <c r="O35" s="13">
        <v>2005</v>
      </c>
      <c r="P35" s="13">
        <v>18666</v>
      </c>
      <c r="Q35" s="13">
        <v>2005</v>
      </c>
      <c r="R35" s="13" t="s">
        <v>138</v>
      </c>
      <c r="S35" s="7">
        <v>10142</v>
      </c>
      <c r="T35" s="6">
        <v>2000</v>
      </c>
    </row>
    <row r="36" spans="1:20" x14ac:dyDescent="0.2">
      <c r="A36" s="7">
        <v>6</v>
      </c>
      <c r="B36" s="7" t="s">
        <v>178</v>
      </c>
      <c r="C36" s="7" t="s">
        <v>218</v>
      </c>
      <c r="D36" s="2" t="s">
        <v>81</v>
      </c>
      <c r="E36" s="8" t="s">
        <v>15</v>
      </c>
      <c r="F36" s="8" t="s">
        <v>59</v>
      </c>
      <c r="G36" s="8" t="s">
        <v>80</v>
      </c>
      <c r="H36" s="9">
        <v>10.9</v>
      </c>
      <c r="I36" s="13">
        <v>2005</v>
      </c>
      <c r="J36" s="17">
        <v>414.7183862010545</v>
      </c>
      <c r="K36" s="17">
        <v>414.7183862010545</v>
      </c>
      <c r="M36" s="17">
        <v>474.52948751866876</v>
      </c>
      <c r="N36" s="13"/>
      <c r="O36" s="13"/>
      <c r="P36" s="13"/>
      <c r="Q36" s="13"/>
      <c r="R36" s="13"/>
      <c r="T36" s="5">
        <v>2005</v>
      </c>
    </row>
    <row r="37" spans="1:20" x14ac:dyDescent="0.2">
      <c r="A37" s="7" t="s">
        <v>132</v>
      </c>
      <c r="B37" s="7" t="s">
        <v>179</v>
      </c>
      <c r="C37" s="7" t="s">
        <v>219</v>
      </c>
      <c r="D37" s="2" t="s">
        <v>82</v>
      </c>
      <c r="E37" s="8" t="s">
        <v>83</v>
      </c>
      <c r="F37" s="8" t="s">
        <v>84</v>
      </c>
      <c r="G37" s="8" t="s">
        <v>85</v>
      </c>
      <c r="H37" s="9">
        <v>25.105703999999999</v>
      </c>
      <c r="I37" s="13">
        <v>2009</v>
      </c>
      <c r="J37" s="17">
        <v>2652.3931769345168</v>
      </c>
      <c r="K37" s="17">
        <v>3673.784338838459</v>
      </c>
      <c r="L37" s="17">
        <v>3384.9589115164317</v>
      </c>
      <c r="M37" s="17">
        <v>3230.8674983802352</v>
      </c>
      <c r="N37" s="13">
        <v>34900</v>
      </c>
      <c r="O37" s="13">
        <v>2010</v>
      </c>
      <c r="P37" s="13">
        <v>37800</v>
      </c>
      <c r="Q37" s="13">
        <v>2010</v>
      </c>
      <c r="R37" s="13"/>
      <c r="S37" s="7">
        <v>23400</v>
      </c>
      <c r="T37" s="5">
        <v>2009</v>
      </c>
    </row>
    <row r="38" spans="1:20" x14ac:dyDescent="0.2">
      <c r="A38" s="7" t="s">
        <v>133</v>
      </c>
      <c r="B38" s="7" t="s">
        <v>180</v>
      </c>
      <c r="C38" s="7" t="s">
        <v>220</v>
      </c>
      <c r="D38" s="2" t="s">
        <v>86</v>
      </c>
      <c r="E38" s="8" t="s">
        <v>13</v>
      </c>
      <c r="F38" s="8" t="s">
        <v>87</v>
      </c>
      <c r="G38" s="8" t="s">
        <v>88</v>
      </c>
      <c r="H38" s="9">
        <v>28.968119999999999</v>
      </c>
      <c r="I38" s="13">
        <v>1994</v>
      </c>
      <c r="J38" s="17">
        <v>757.68147966867491</v>
      </c>
      <c r="K38" s="17">
        <v>685.48869212257432</v>
      </c>
      <c r="L38" s="17">
        <v>833.24683454208127</v>
      </c>
      <c r="M38" s="17">
        <v>848.23723393489615</v>
      </c>
      <c r="N38" s="13">
        <v>41800</v>
      </c>
      <c r="O38" s="13">
        <v>1995</v>
      </c>
      <c r="P38" s="13">
        <v>37100</v>
      </c>
      <c r="Q38" s="13">
        <v>2000</v>
      </c>
      <c r="R38" s="13"/>
      <c r="S38" s="7">
        <v>26796</v>
      </c>
      <c r="T38" s="5">
        <v>1994</v>
      </c>
    </row>
    <row r="39" spans="1:20" x14ac:dyDescent="0.2">
      <c r="A39" s="7" t="s">
        <v>134</v>
      </c>
      <c r="B39" s="7" t="s">
        <v>181</v>
      </c>
      <c r="C39" s="7" t="s">
        <v>221</v>
      </c>
      <c r="D39" s="2" t="s">
        <v>89</v>
      </c>
      <c r="E39" s="8" t="s">
        <v>90</v>
      </c>
      <c r="F39" s="8" t="s">
        <v>91</v>
      </c>
      <c r="G39" s="8" t="s">
        <v>92</v>
      </c>
      <c r="H39" s="9">
        <v>15.771532000000001</v>
      </c>
      <c r="I39" s="13">
        <v>2007</v>
      </c>
      <c r="J39" s="17">
        <v>567.52145211314053</v>
      </c>
      <c r="K39" s="17">
        <v>567.52145211314053</v>
      </c>
      <c r="L39" s="17">
        <v>605.08118052705959</v>
      </c>
      <c r="M39" s="17">
        <v>605.08118052705959</v>
      </c>
      <c r="N39" s="13"/>
      <c r="O39" s="13"/>
      <c r="P39" s="13">
        <v>17650</v>
      </c>
      <c r="Q39" s="13">
        <v>2025</v>
      </c>
      <c r="R39" s="13"/>
      <c r="S39" s="7">
        <v>14400</v>
      </c>
      <c r="T39" s="5">
        <v>2007</v>
      </c>
    </row>
    <row r="40" spans="1:20" x14ac:dyDescent="0.2">
      <c r="A40" s="7">
        <v>7</v>
      </c>
      <c r="B40" s="7" t="s">
        <v>182</v>
      </c>
      <c r="C40" s="7" t="s">
        <v>222</v>
      </c>
      <c r="D40" s="2" t="s">
        <v>93</v>
      </c>
      <c r="E40" s="8" t="s">
        <v>90</v>
      </c>
      <c r="F40" s="8" t="s">
        <v>91</v>
      </c>
      <c r="G40" s="8" t="s">
        <v>92</v>
      </c>
      <c r="H40" s="9">
        <v>15.449663999999999</v>
      </c>
      <c r="I40" s="15">
        <v>2018</v>
      </c>
      <c r="J40" s="17">
        <v>1198.0733675776216</v>
      </c>
      <c r="L40" s="17">
        <v>1251.8440195640469</v>
      </c>
      <c r="M40" s="17">
        <v>1430.8885334993504</v>
      </c>
      <c r="N40" s="16"/>
      <c r="O40" s="16"/>
      <c r="P40" s="16">
        <v>47470</v>
      </c>
      <c r="Q40" s="16">
        <v>2030</v>
      </c>
      <c r="R40" s="13"/>
      <c r="T40" s="6">
        <v>2018</v>
      </c>
    </row>
    <row r="41" spans="1:20" x14ac:dyDescent="0.2">
      <c r="A41" s="7">
        <v>8</v>
      </c>
      <c r="B41" s="7" t="s">
        <v>183</v>
      </c>
      <c r="C41" s="7" t="s">
        <v>223</v>
      </c>
      <c r="D41" s="7" t="s">
        <v>94</v>
      </c>
      <c r="E41" s="8" t="s">
        <v>24</v>
      </c>
      <c r="F41" s="8" t="s">
        <v>59</v>
      </c>
      <c r="G41" s="7" t="s">
        <v>95</v>
      </c>
      <c r="H41" s="9">
        <v>15.8</v>
      </c>
      <c r="I41" s="13">
        <v>2012</v>
      </c>
      <c r="J41" s="17">
        <v>902.66315038271091</v>
      </c>
      <c r="K41" s="17">
        <v>755.33638921182558</v>
      </c>
      <c r="M41" s="17">
        <v>1133.0045838177384</v>
      </c>
      <c r="N41" s="16">
        <v>27200</v>
      </c>
      <c r="O41" s="16">
        <v>2020</v>
      </c>
      <c r="P41" s="16">
        <v>22200</v>
      </c>
      <c r="Q41" s="16">
        <v>2020</v>
      </c>
      <c r="R41" s="13"/>
      <c r="T41" s="5">
        <v>2012</v>
      </c>
    </row>
    <row r="42" spans="1:20" x14ac:dyDescent="0.2">
      <c r="G42" s="8"/>
      <c r="H42" s="8"/>
    </row>
    <row r="43" spans="1:20" x14ac:dyDescent="0.2">
      <c r="H43" s="8"/>
    </row>
  </sheetData>
  <hyperlinks>
    <hyperlink ref="D2" location="'BWI-HuntValleyExt.'!A1" display="Hunt Valley Extension" xr:uid="{8BD5C1B6-3340-5845-8836-865FA5E0353C}"/>
    <hyperlink ref="D3" location="'DA-SouthOakCliffBlue96'!A1" display="South Oak Cliff " xr:uid="{5B41895B-9FEE-C44B-A900-FE49F5E8F923}"/>
    <hyperlink ref="D4" location="'DA-North-CenRed02'!A1" display="North Central Extension " xr:uid="{F8564E1C-0A25-B347-B724-22FD55503544}"/>
    <hyperlink ref="D5" location="'DA-SouEastGreen09'!A1" display="Southeast Corridor LRT" xr:uid="{E4C9AF5D-6243-F341-ABAF-307E21C880EC}"/>
    <hyperlink ref="D6" location="'DA-NW-Irving'!A1" display="Northwest Corridor LRT to Irving DFW Airport" xr:uid="{3EB51F46-B8B5-3748-84CA-9D8CD9F6F318}"/>
    <hyperlink ref="D7" location="'DV-WestCorLRT13'!A1" display="West Corridor LRT " xr:uid="{084847FD-F86D-3B48-AFE5-9646B71E8427}"/>
    <hyperlink ref="D8" location="'DV-SouWest10'!A1" display="Southwest LRT Project" xr:uid="{F7BB392C-EF9D-9641-AD39-F96038A1ABC1}"/>
    <hyperlink ref="D9" location="'DV-SouEast06'!A1" display="Southeast Corridor LRT" xr:uid="{CB6A29C5-6964-7C48-B328-ED1A28865F96}"/>
    <hyperlink ref="D10" location="'HST-NorCorLRT14'!A1" display="North Hardy MetroRail Red Line" xr:uid="{E23FCE49-9FFA-1145-B174-5A0C38582783}"/>
    <hyperlink ref="D11" location="'HST-SouEast15'!A1" display="Southeast Corridor LRT" xr:uid="{DD4A1DF1-9863-B449-B7C8-14F403309FC1}"/>
    <hyperlink ref="D12" location="'MN-Hiawa'!A1" display="Hiawatha LRT " xr:uid="{60AB6F2F-3F2F-754F-B8BB-E81C8CF5E809}"/>
    <hyperlink ref="D13" location="'MN-CtrCor'!A1" display="Central Corridor LRT" xr:uid="{FEA4461D-2099-D54C-823E-72FC195FC890}"/>
    <hyperlink ref="D19" location="'PTL-MaxGreen'!A1" display="I-205/Portland Mall LRT" xr:uid="{AF35CC2D-579A-AB4C-A957-BF6C4E21647C}"/>
    <hyperlink ref="D20" location="'PTL-MWKLRTOrg'!A1" display="Portland-Milwaukie LRT" xr:uid="{D3D530F4-11A0-974D-98F3-E7E6D93AA138}"/>
    <hyperlink ref="D21" location="'PTL-West-HillbBlue'!A1" display="Westside-Hillsboro LRT " xr:uid="{52777147-53E9-C444-AD40-5D6EA2880C2F}"/>
    <hyperlink ref="D22" location="'PTL-IntMaxYel'!A1" display="North Corridor Interstate Max" xr:uid="{6363A5CF-0980-DA42-9DB6-3D85D8876810}"/>
    <hyperlink ref="D23" location="'SACPhase-1'!A1" display="South Sacramento LRT Phase 1" xr:uid="{D643A7FF-123D-774D-BC49-F321AD3C7337}"/>
    <hyperlink ref="D24" location="'SACPhase-2'!A1" display="South Sacramento LRT Phase 2" xr:uid="{D31C1665-6F49-ED49-8FA0-54112826F64F}"/>
    <hyperlink ref="D25" location="'SAT-Folsom'!A1" display="Downtown Sacramento-Folsom " xr:uid="{370A59B1-3AAF-8340-BA4B-BAEB582C43AA}"/>
    <hyperlink ref="D26" location="'SLC-Sandy99'!A1" display="Sandy Line" xr:uid="{3E45EDC4-1ABC-5648-B82A-D22D6305C275}"/>
    <hyperlink ref="D27" location="'SLT-MidJord12'!A1" display="Mid Jordan LRT" xr:uid="{E1339CF4-E22D-4045-B9CC-C40422D036A5}"/>
    <hyperlink ref="D28" location="'SLC-Draper13'!A1" display="Draper Transit Corridor" xr:uid="{7D3BB7C9-E6D6-C548-8A3D-590E1EBB1ED6}"/>
    <hyperlink ref="D29" location="'SLC-UniMed03'!A1" display="University &amp; Medical CenterLRT" xr:uid="{4521AE6E-3183-324B-A34F-7DF521CACC24}"/>
    <hyperlink ref="D14" location="'JC-Hudson'!A1" display="Hudson Bergen MOS 1&amp; MOS 2" xr:uid="{4FDF726E-AF9D-8B42-90E7-00E4B36D3369}"/>
    <hyperlink ref="D15" location="'Neward-Elzbeth'!A1" display="Newark-Elizabeth" xr:uid="{0EAB03E2-69F6-B340-B20C-C164CEDB75FD}"/>
    <hyperlink ref="D16" location="'Norfolk-Tide'!A1" display="The Tide Light Rail " xr:uid="{62A24D9F-2B90-DF46-B84C-EFE82D383AAC}"/>
    <hyperlink ref="D17" location="'CTR-Phoenix'!A1" display="Central Phoenix/East Valley LRT" xr:uid="{C32FC2D7-EDAF-8940-BE0E-74C3CEF38DB4}"/>
    <hyperlink ref="D18" location="'PTB-NorthShore'!A1" display="North Shore LRT Connector" xr:uid="{4247E618-EEE5-6A40-9410-FE22B13458BE}"/>
    <hyperlink ref="D30" location="'SD-ElCajon '!A1" display="El Cajon Extension" xr:uid="{AEFC69D9-FC05-DD41-BF96-5A81FC185A5E}"/>
    <hyperlink ref="D31" location="'SD-MissionValley'!A1" display="Mission Valley East LRT" xr:uid="{DF4EF911-A854-FD4F-963F-676A15AFD98D}"/>
    <hyperlink ref="D32" location="'SD-MidCoast'!A1" display="Mid-Coast Corridor LRT" xr:uid="{A7A540B4-8350-DA47-ACDF-BBF0E860110C}"/>
    <hyperlink ref="D33" location="'SF-TThird'!A1" display="T Third Street LRT" xr:uid="{FAE3CD35-C136-EE4F-8924-C14A7F0F4B8B}"/>
    <hyperlink ref="D34" location="'SJ-Guadalupe'!A1" display="Guadalupe Line lRT" xr:uid="{0BD85B1C-3D57-7C44-A0C3-830739FCDA5D}"/>
    <hyperlink ref="D35" location="'SC-Tasman'!A1" display="Tasman West LRT" xr:uid="{882A8216-F390-5F42-9096-E752C0544128}"/>
    <hyperlink ref="D36" location="'SC-Versona'!A1" display="Versona Extension" xr:uid="{B4C14CF5-298E-F542-89FB-5D6D50F087BB}"/>
    <hyperlink ref="D37" location="'SET-CentralLink'!A1" display="Central Link Initial Segment" xr:uid="{EF599AAE-FFB3-574E-936B-F41C5E81E2E4}"/>
    <hyperlink ref="D38" location="'StC-MetroLink'!A1" display="MetroLink" xr:uid="{9021D9B6-7931-A04F-B19F-2946CB634835}"/>
    <hyperlink ref="D39" location="'CT-SouthCorrifor'!A1" display="South Corridor LRT" xr:uid="{D9D731A0-B8EA-A546-AE92-FD280D73DB1B}"/>
    <hyperlink ref="D40" location="'CT-NorEast'!A1" display="Northeast Corridor LRT " xr:uid="{84837964-1262-B047-B4D8-0FC2A51F82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ywan6505</dc:creator>
  <cp:lastModifiedBy>Yadi Wang</cp:lastModifiedBy>
  <dcterms:created xsi:type="dcterms:W3CDTF">2022-07-23T12:07:27Z</dcterms:created>
  <dcterms:modified xsi:type="dcterms:W3CDTF">2022-07-23T12:44:21Z</dcterms:modified>
</cp:coreProperties>
</file>