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diwang/Desktop/Alternative 2 Charts/"/>
    </mc:Choice>
  </mc:AlternateContent>
  <xr:revisionPtr revIDLastSave="0" documentId="13_ncr:1_{9A9B95BA-C049-514B-A7D6-74FBE5546BAF}" xr6:coauthVersionLast="47" xr6:coauthVersionMax="47" xr10:uidLastSave="{00000000-0000-0000-0000-000000000000}"/>
  <bookViews>
    <workbookView xWindow="0" yWindow="0" windowWidth="28800" windowHeight="18000" xr2:uid="{C27E4E53-8CF6-AF49-B015-14EAB92E25EC}"/>
  </bookViews>
  <sheets>
    <sheet name="Sheet1" sheetId="2" r:id="rId1"/>
    <sheet name="Sheet3" sheetId="1" r:id="rId2"/>
    <sheet name="Sheet2" sheetId="3" r:id="rId3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2" i="1"/>
</calcChain>
</file>

<file path=xl/sharedStrings.xml><?xml version="1.0" encoding="utf-8"?>
<sst xmlns="http://schemas.openxmlformats.org/spreadsheetml/2006/main" count="952" uniqueCount="318">
  <si>
    <t>Time_Zone</t>
  </si>
  <si>
    <t>Coded-Line-Name</t>
  </si>
  <si>
    <t>City</t>
  </si>
  <si>
    <t>Route_Name</t>
  </si>
  <si>
    <t>ID</t>
  </si>
  <si>
    <t>Oringin_Station</t>
  </si>
  <si>
    <t>LatLong</t>
  </si>
  <si>
    <t>Est. LRTTTT</t>
  </si>
  <si>
    <t>Act LRTTTT</t>
  </si>
  <si>
    <t xml:space="preserve">Est. BusTTT </t>
  </si>
  <si>
    <t>Act. BusTTT</t>
  </si>
  <si>
    <t>GMT-5</t>
  </si>
  <si>
    <t>TX-DA-NorthCentralGreen</t>
  </si>
  <si>
    <t>Dallas</t>
  </si>
  <si>
    <t>NorthCentralGreen</t>
  </si>
  <si>
    <t>LBJ</t>
  </si>
  <si>
    <t>32.9183654152658, -96.75200798394727</t>
  </si>
  <si>
    <t>Arapaho</t>
  </si>
  <si>
    <t>32.96349036820658, -96.72285294151766</t>
  </si>
  <si>
    <t>Parker Road</t>
  </si>
  <si>
    <t>33.03394148915266, -96.70075107340541</t>
  </si>
  <si>
    <t>TX-DA-SouthEastGreen</t>
  </si>
  <si>
    <t>SouthEastGreen</t>
  </si>
  <si>
    <t>Baylor</t>
  </si>
  <si>
    <t>32.786573650845895, -96.78201641743013</t>
  </si>
  <si>
    <t>MLK</t>
  </si>
  <si>
    <t>32.773739312323166, -96.76453875234631</t>
  </si>
  <si>
    <t>Lawnview</t>
  </si>
  <si>
    <t>32.76564507008327, -96.72053310224835</t>
  </si>
  <si>
    <t>Buckner</t>
  </si>
  <si>
    <t>32.71858434116477, -96.68505237341346</t>
  </si>
  <si>
    <t>TX-DA-FarmerBranchGreen</t>
  </si>
  <si>
    <t>FarmerBranchGreen</t>
  </si>
  <si>
    <t>Trinity Mills</t>
  </si>
  <si>
    <t>32.98083658086748, -96.92649247340678</t>
  </si>
  <si>
    <t>Walnut Hills</t>
  </si>
  <si>
    <t>32.88203646598594, -96.88385800224542</t>
  </si>
  <si>
    <t>Love Field</t>
  </si>
  <si>
    <t>32.82217204083286, -96.83338987526368</t>
  </si>
  <si>
    <t>TX-DA-IrvingOrange</t>
  </si>
  <si>
    <t>IrvingOrange</t>
  </si>
  <si>
    <t>Belt Line Road</t>
  </si>
  <si>
    <t>32.888002666894025, -96.98651130224523</t>
  </si>
  <si>
    <t>North Lake College</t>
  </si>
  <si>
    <t>32.87512616493431, -96.96715620224559</t>
  </si>
  <si>
    <t>Carpenter ranch Hidden Bridge</t>
  </si>
  <si>
    <t>32.87699526521874, -96.93846167364255</t>
  </si>
  <si>
    <t>North Las ColinasLas Colinas</t>
  </si>
  <si>
    <t>32.868590671660264, -96.93354618859401</t>
  </si>
  <si>
    <t>University of Dallas</t>
  </si>
  <si>
    <t>32.84924656099762, -96.91425807341012</t>
  </si>
  <si>
    <t>GMT-6</t>
  </si>
  <si>
    <t>CO-DV-SouthEastEline</t>
  </si>
  <si>
    <t>Denver</t>
  </si>
  <si>
    <t>SouthEast_ELine</t>
  </si>
  <si>
    <t>Colorado</t>
  </si>
  <si>
    <t>39.67950099999999,-104.93779</t>
  </si>
  <si>
    <t>Yale</t>
  </si>
  <si>
    <t>39.668779,-104.927566</t>
  </si>
  <si>
    <t>Southmoor</t>
  </si>
  <si>
    <t>39.648582,-104.916267</t>
  </si>
  <si>
    <t>Dayton</t>
  </si>
  <si>
    <t>39.6428889,-104.8781738</t>
  </si>
  <si>
    <t>Nine Mile(Parker I225)</t>
  </si>
  <si>
    <t>39.657452,-104.845329</t>
  </si>
  <si>
    <t>Union Belleview</t>
  </si>
  <si>
    <t>39.6276318,-104.9044568</t>
  </si>
  <si>
    <t>Orchard</t>
  </si>
  <si>
    <t>39.6135639,-104.8962089</t>
  </si>
  <si>
    <t>Arapahoe</t>
  </si>
  <si>
    <t>39.7547578,-104.9867781</t>
  </si>
  <si>
    <t>Dry Creek</t>
  </si>
  <si>
    <t>39.578812,-104.876556</t>
  </si>
  <si>
    <t>County Line</t>
  </si>
  <si>
    <t>39.562029,-104.8722899</t>
  </si>
  <si>
    <t>Lincoln</t>
  </si>
  <si>
    <t>39.7286508,-104.9859658</t>
  </si>
  <si>
    <t>CO-DV-SouthWestDline</t>
  </si>
  <si>
    <t>SouthWest_Dline</t>
  </si>
  <si>
    <t>Littleton Mineral</t>
  </si>
  <si>
    <t>39.5801167,-105.0249298</t>
  </si>
  <si>
    <t>CO-DV-WestWline</t>
  </si>
  <si>
    <t>West_Wline</t>
  </si>
  <si>
    <t>Federal Center</t>
  </si>
  <si>
    <t>39.7199722,-105.1290076</t>
  </si>
  <si>
    <t>Jeffco Government Center</t>
  </si>
  <si>
    <t>39.7264567,-105.2013467</t>
  </si>
  <si>
    <t>TX-HT-NorthHardyRed</t>
  </si>
  <si>
    <t>Houston</t>
  </si>
  <si>
    <t>NorthHardy_Red</t>
  </si>
  <si>
    <t>Melbourne</t>
  </si>
  <si>
    <t>29.6494145,-95.312703</t>
  </si>
  <si>
    <t>Burnett</t>
  </si>
  <si>
    <t>29.7745398,-95.351328</t>
  </si>
  <si>
    <t>Northline</t>
  </si>
  <si>
    <t>29.8594534,-95.3846774</t>
  </si>
  <si>
    <t>Central Station</t>
  </si>
  <si>
    <t>29.7588632,-95.3634244</t>
  </si>
  <si>
    <t>Moddy Park</t>
  </si>
  <si>
    <t>29.7953855,-95.36582489999999</t>
  </si>
  <si>
    <t>Fulton North Central</t>
  </si>
  <si>
    <t>29.785456,-95.360757</t>
  </si>
  <si>
    <t>Quitman</t>
  </si>
  <si>
    <t>29.780167,-95.363604</t>
  </si>
  <si>
    <t>GMT-7</t>
  </si>
  <si>
    <t>OR-PT-WestHillsBlue</t>
  </si>
  <si>
    <t>Portland</t>
  </si>
  <si>
    <t>WestsideHillsboro_Blue</t>
  </si>
  <si>
    <t>Hatfield Government Center MAX Station</t>
  </si>
  <si>
    <t>45.515232,-122.6783853</t>
  </si>
  <si>
    <t>Washington/SE 12th Ave MAX Station</t>
  </si>
  <si>
    <t>45.52111,-122.96967</t>
  </si>
  <si>
    <t>Fair Complex/Hillsboro Airport MAX Stn</t>
  </si>
  <si>
    <t>45.526983,-122.946154</t>
  </si>
  <si>
    <t>Hawthorn Farm MAX Station</t>
  </si>
  <si>
    <t>45.5299834,-122.9307419</t>
  </si>
  <si>
    <t>GMT-4</t>
  </si>
  <si>
    <t>OA-PT-Northshore</t>
  </si>
  <si>
    <t>Pittsburgh</t>
  </si>
  <si>
    <t>NorthShoreLine</t>
  </si>
  <si>
    <t>Gateway Center</t>
  </si>
  <si>
    <t>40.44176931391607, -80.00412660151694</t>
  </si>
  <si>
    <t>Steel Plaza</t>
  </si>
  <si>
    <t>40.4398177673641, -79.99564009219314</t>
  </si>
  <si>
    <t>First Avenue</t>
  </si>
  <si>
    <t>40.43558786115491, -79.9964554836784</t>
  </si>
  <si>
    <t>UT-SLC-MidJordan</t>
  </si>
  <si>
    <t>Salt Lake City</t>
  </si>
  <si>
    <t>MidJordanLine</t>
  </si>
  <si>
    <t>6400 South TRAX station</t>
  </si>
  <si>
    <t>40.63373393100066, -111.89837930961292</t>
  </si>
  <si>
    <t>Dealta Center</t>
  </si>
  <si>
    <t>40.769347013417, -111.90034058271603</t>
  </si>
  <si>
    <t>Gallivan Plaza (main/300 south</t>
  </si>
  <si>
    <t>40.76383866122408, -111.89106028271692</t>
  </si>
  <si>
    <t>University of Utah (Fort Douglas)</t>
  </si>
  <si>
    <t>40.764046980175536, -111.83642118308593</t>
  </si>
  <si>
    <t>NJ-JC-HudsonBergen</t>
  </si>
  <si>
    <t>Jersey City</t>
  </si>
  <si>
    <t>HudsonBergen_</t>
  </si>
  <si>
    <t>Bayonne (ave c and 28th street)</t>
  </si>
  <si>
    <t>40.66092805569189, -74.11681720550273</t>
  </si>
  <si>
    <t>Southern Jersey City (west sude &amp;claremont ave)</t>
  </si>
  <si>
    <t>40.71458243768332, -74.0874514045521</t>
  </si>
  <si>
    <t>North Hudson (vergenline ave &amp; 48 st)</t>
  </si>
  <si>
    <t>40.78157017069692, -74.02192825054323</t>
  </si>
  <si>
    <t>AZ-PX-CentralPhoenix</t>
  </si>
  <si>
    <t>Phoenix</t>
  </si>
  <si>
    <t>CentralPhoenix</t>
  </si>
  <si>
    <t>Washington st/12th st</t>
  </si>
  <si>
    <t>33.4482114036056, -112.0571946154683</t>
  </si>
  <si>
    <t>Phoenix CBD</t>
  </si>
  <si>
    <t>33.448869326765795, -112.07389566585044</t>
  </si>
  <si>
    <t>Sky harbor Airport washington st/32nd st</t>
  </si>
  <si>
    <t>33.448201487035405, -111.98791203531859</t>
  </si>
  <si>
    <t>(38 st)washington/40th st</t>
  </si>
  <si>
    <t>33.44807607607419, -111.99984874455066</t>
  </si>
  <si>
    <t>EVIT Main st./Longmore</t>
  </si>
  <si>
    <t>33.41484843634347, -111.87078357379492</t>
  </si>
  <si>
    <t>UT-SLC-Snady</t>
  </si>
  <si>
    <t>SandyLine</t>
  </si>
  <si>
    <t>Salt Lake City (Main and south temple)</t>
  </si>
  <si>
    <t>South Salt Lake City (State St and 2700 south)</t>
  </si>
  <si>
    <t>Fashion Place Mall (6400 south state street)</t>
  </si>
  <si>
    <t>CA-SD-MidCoast</t>
  </si>
  <si>
    <t>SanDiego</t>
  </si>
  <si>
    <t>Mid-Coast</t>
  </si>
  <si>
    <t>Nobel Station (Towne Center dr. Nobel Dr)</t>
  </si>
  <si>
    <t>32.866868688393474, -117.2304095439805</t>
  </si>
  <si>
    <t>Balboa station</t>
  </si>
  <si>
    <t>32.805772963158155, -117.21405000165247</t>
  </si>
  <si>
    <t>Clariremont station</t>
  </si>
  <si>
    <t>32.79001096156411, -117.20613527281719</t>
  </si>
  <si>
    <t xml:space="preserve">Tecolote Station </t>
  </si>
  <si>
    <t>32.76985498088404, -117.20507154398175</t>
  </si>
  <si>
    <t>CA-SF-Tthird</t>
  </si>
  <si>
    <t>SanFrancisco</t>
  </si>
  <si>
    <t>Tthird</t>
  </si>
  <si>
    <t>Third/market</t>
  </si>
  <si>
    <t>37.78740739722422, -122.40375196460813</t>
  </si>
  <si>
    <t>Stockton/Clay</t>
  </si>
  <si>
    <t>37.794064958972506, -122.40756101201653</t>
  </si>
  <si>
    <t>Main/Market (Embarcadero)</t>
  </si>
  <si>
    <t>37.79488392558096, -122.3939630270806</t>
  </si>
  <si>
    <t>Project ID</t>
  </si>
  <si>
    <t>TX-NCE</t>
  </si>
  <si>
    <t>TX-SENW</t>
  </si>
  <si>
    <t>TX-NWIrv</t>
  </si>
  <si>
    <t>CO-W</t>
  </si>
  <si>
    <t>CO-SW</t>
  </si>
  <si>
    <t xml:space="preserve">CO-SE </t>
  </si>
  <si>
    <t>TX-NH</t>
  </si>
  <si>
    <t>NJ-HB</t>
  </si>
  <si>
    <t>AZ-CPEV</t>
  </si>
  <si>
    <t>PA-NS</t>
  </si>
  <si>
    <t>OR-WHE</t>
  </si>
  <si>
    <t>UT-Sandy</t>
  </si>
  <si>
    <t>UT-MJ</t>
  </si>
  <si>
    <t>CA-MC</t>
  </si>
  <si>
    <t>CA-TT</t>
  </si>
  <si>
    <t>State</t>
  </si>
  <si>
    <t>BUSTTT_PE</t>
  </si>
  <si>
    <t>LRTTTT_PE</t>
  </si>
  <si>
    <t>TX</t>
  </si>
  <si>
    <t>CO</t>
  </si>
  <si>
    <t>OR</t>
  </si>
  <si>
    <t>PA</t>
  </si>
  <si>
    <t>UT</t>
  </si>
  <si>
    <t>NJ</t>
  </si>
  <si>
    <t>AZ</t>
  </si>
  <si>
    <t>CA</t>
  </si>
  <si>
    <t>State_Average_LRT_PE</t>
  </si>
  <si>
    <t>State_Average_BUS_PE</t>
  </si>
  <si>
    <t>State_Average_Act_LRT_Min</t>
  </si>
  <si>
    <t>State_Average_Act_Bus_Min</t>
  </si>
  <si>
    <t>Country</t>
  </si>
  <si>
    <t>US</t>
  </si>
  <si>
    <t>Postal</t>
  </si>
  <si>
    <t>Alabama</t>
  </si>
  <si>
    <t>AL</t>
  </si>
  <si>
    <t>Alaska</t>
  </si>
  <si>
    <t>AK</t>
  </si>
  <si>
    <t>Arizona</t>
  </si>
  <si>
    <t>Arkansas</t>
  </si>
  <si>
    <t>AR</t>
  </si>
  <si>
    <t>California</t>
  </si>
  <si>
    <t>Canal Zone</t>
  </si>
  <si>
    <t>CZ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</si>
  <si>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</si>
  <si>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</si>
  <si>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</si>
  <si>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</si>
  <si>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</si>
  <si>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</si>
  <si>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</si>
  <si>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</si>
  <si>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</si>
  <si>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</si>
  <si>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Guam</t>
  </si>
  <si>
    <t>GU</t>
  </si>
  <si>
    <t>Hawaii</t>
  </si>
  <si>
    <t>HI</t>
  </si>
  <si>
    <t>Idaho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</si>
  <si>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</si>
  <si>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</si>
  <si>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</si>
  <si>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</si>
  <si>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</si>
  <si>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</si>
  <si>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</si>
  <si>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</si>
  <si>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</si>
  <si>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</si>
  <si>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</si>
  <si>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</si>
  <si>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</si>
  <si>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</si>
  <si>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</si>
  <si>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</si>
  <si>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</si>
  <si>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</si>
  <si>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</si>
  <si>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</si>
  <si>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</si>
  <si>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</si>
  <si>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</si>
  <si>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</si>
  <si>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</si>
  <si>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</si>
  <si>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</si>
  <si>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</si>
  <si>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</si>
  <si>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</si>
  <si>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</si>
  <si>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</si>
  <si>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</si>
  <si>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</si>
  <si>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</si>
  <si>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</si>
  <si>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</si>
  <si>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</si>
  <si>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</si>
  <si>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</si>
  <si>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</si>
  <si>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</si>
  <si>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</si>
  <si>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</si>
  <si>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</si>
  <si>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</si>
  <si>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</si>
  <si>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</si>
  <si>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Pennsylvania</t>
  </si>
  <si>
    <t>Puerto Rico</t>
  </si>
  <si>
    <t>PR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</si>
  <si>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</si>
  <si>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</si>
  <si>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</si>
  <si>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</si>
  <si>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</si>
  <si>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</si>
  <si>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</si>
  <si>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</si>
  <si>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</si>
  <si>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Utah</t>
  </si>
  <si>
    <t>Vermont</t>
  </si>
  <si>
    <t>VT</t>
  </si>
  <si>
    <t>Virgin Islands</t>
  </si>
  <si>
    <t>VI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</si>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</sst>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1" fontId="0" fillId="2" borderId="0" xfId="0" applyNumberFormat="1" applyFill="1"/>
    <xf numFmtId="0" fontId="2" fillId="2" borderId="0" xfId="0" applyFont="1" applyFill="1"/>
    <xf numFmtId="0" fontId="0" fillId="3" borderId="0" xfId="0" applyFill="1"/>
    <xf numFmtId="1" fontId="0" fillId="3" borderId="0" xfId="0" applyNumberFormat="1" applyFill="1"/>
    <xf numFmtId="0" fontId="0" fillId="4" borderId="0" xfId="0" applyFill="1"/>
    <xf numFmtId="1" fontId="0" fillId="4" borderId="0" xfId="0" applyNumberFormat="1" applyFill="1"/>
    <xf numFmtId="0" fontId="0" fillId="5" borderId="0" xfId="0" applyFill="1"/>
    <xf numFmtId="1" fontId="0" fillId="5" borderId="0" xfId="0" applyNumberFormat="1" applyFill="1"/>
    <xf numFmtId="0" fontId="3" fillId="6" borderId="0" xfId="0" applyFont="1" applyFill="1"/>
    <xf numFmtId="0" fontId="2" fillId="6" borderId="0" xfId="0" applyFont="1" applyFill="1"/>
    <xf numFmtId="0" fontId="0" fillId="7" borderId="0" xfId="0" applyFill="1"/>
    <xf numFmtId="0" fontId="2" fillId="5" borderId="0" xfId="0" applyFont="1" applyFill="1"/>
    <xf numFmtId="0" fontId="0" fillId="8" borderId="0" xfId="0" applyFill="1"/>
    <xf numFmtId="0" fontId="4" fillId="2" borderId="0" xfId="0" applyFont="1" applyFill="1"/>
    <xf numFmtId="0" fontId="4" fillId="9" borderId="0" xfId="0" applyFont="1" applyFill="1"/>
    <xf numFmtId="0" fontId="0" fillId="9" borderId="0" xfId="0" applyFill="1"/>
    <xf numFmtId="0" fontId="1" fillId="0" borderId="0" xfId="1" applyFill="1" applyBorder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FB2A-DE28-C94A-A06A-5B96D2F60D5C}">
  <dimension ref="A1:O66"/>
  <sheetViews>
    <sheetView tabSelected="1" zoomScale="63" zoomScaleNormal="80" workbookViewId="0">
      <selection activeCell="L5" sqref="L5"/>
    </sheetView>
  </sheetViews>
  <sheetFormatPr baseColWidth="10" defaultRowHeight="16" x14ac:dyDescent="0.2"/>
  <cols>
    <col min="1" max="1" width="23.83203125" bestFit="1" customWidth="1"/>
    <col min="2" max="2" width="11.1640625" bestFit="1" customWidth="1"/>
    <col min="3" max="5" width="11.1640625" customWidth="1"/>
    <col min="6" max="6" width="12.33203125" bestFit="1" customWidth="1"/>
    <col min="7" max="7" width="12" bestFit="1" customWidth="1"/>
    <col min="8" max="8" width="13" bestFit="1" customWidth="1"/>
    <col min="9" max="9" width="12.83203125" bestFit="1" customWidth="1"/>
    <col min="10" max="10" width="15.83203125" bestFit="1" customWidth="1"/>
    <col min="11" max="11" width="15" bestFit="1" customWidth="1"/>
    <col min="12" max="12" width="24.83203125" bestFit="1" customWidth="1"/>
    <col min="13" max="13" width="25.5" bestFit="1" customWidth="1"/>
    <col min="14" max="14" width="31.1640625" bestFit="1" customWidth="1"/>
  </cols>
  <sheetData>
    <row r="1" spans="1:15" ht="21" thickBot="1" x14ac:dyDescent="0.3">
      <c r="A1" s="1" t="s">
        <v>1</v>
      </c>
      <c r="B1" s="1" t="s">
        <v>184</v>
      </c>
      <c r="C1" s="1" t="s">
        <v>215</v>
      </c>
      <c r="D1" s="1" t="s">
        <v>200</v>
      </c>
      <c r="E1" s="1" t="s">
        <v>2</v>
      </c>
      <c r="F1" s="1" t="s">
        <v>7</v>
      </c>
      <c r="G1" s="1" t="s">
        <v>8</v>
      </c>
      <c r="H1" s="1" t="s">
        <v>9</v>
      </c>
      <c r="I1" s="1" t="s">
        <v>10</v>
      </c>
      <c r="J1" s="19" t="s">
        <v>202</v>
      </c>
      <c r="K1" s="19" t="s">
        <v>201</v>
      </c>
      <c r="L1" s="19" t="s">
        <v>211</v>
      </c>
      <c r="M1" s="19" t="s">
        <v>212</v>
      </c>
      <c r="N1" s="19" t="s">
        <v>213</v>
      </c>
      <c r="O1" s="19" t="s">
        <v>214</v>
      </c>
    </row>
    <row r="2" spans="1:15" ht="17" thickTop="1" x14ac:dyDescent="0.2">
      <c r="A2" s="9" t="s">
        <v>146</v>
      </c>
      <c r="B2" t="s">
        <v>193</v>
      </c>
      <c r="C2" t="s">
        <v>216</v>
      </c>
      <c r="D2" t="s">
        <v>209</v>
      </c>
      <c r="E2" t="s">
        <v>147</v>
      </c>
      <c r="F2" s="9">
        <v>28</v>
      </c>
      <c r="G2" s="9">
        <v>37</v>
      </c>
      <c r="H2" s="9">
        <v>45</v>
      </c>
      <c r="I2" s="9">
        <v>54</v>
      </c>
      <c r="J2">
        <v>0.45076604554865402</v>
      </c>
      <c r="K2">
        <v>1.0431577822882154E-2</v>
      </c>
      <c r="L2">
        <v>0.45076604554865402</v>
      </c>
      <c r="M2">
        <v>1.0431577822882154E-2</v>
      </c>
      <c r="N2">
        <v>46.8</v>
      </c>
      <c r="O2">
        <v>73</v>
      </c>
    </row>
    <row r="3" spans="1:15" x14ac:dyDescent="0.2">
      <c r="A3" s="9" t="s">
        <v>146</v>
      </c>
      <c r="B3" t="s">
        <v>193</v>
      </c>
      <c r="C3" t="s">
        <v>216</v>
      </c>
      <c r="D3" t="s">
        <v>209</v>
      </c>
      <c r="E3" t="s">
        <v>147</v>
      </c>
      <c r="F3" s="9">
        <v>23</v>
      </c>
      <c r="G3" s="9">
        <v>33</v>
      </c>
      <c r="H3" s="9">
        <v>30</v>
      </c>
      <c r="I3" s="9">
        <v>51</v>
      </c>
      <c r="J3">
        <v>0.45076604554865402</v>
      </c>
      <c r="K3">
        <v>1.0431577822882154E-2</v>
      </c>
      <c r="L3">
        <v>0.45076604554865402</v>
      </c>
      <c r="M3">
        <v>1.0431577822882154E-2</v>
      </c>
      <c r="N3">
        <v>46.8</v>
      </c>
      <c r="O3">
        <v>73</v>
      </c>
    </row>
    <row r="4" spans="1:15" x14ac:dyDescent="0.2">
      <c r="A4" s="9" t="s">
        <v>146</v>
      </c>
      <c r="B4" t="s">
        <v>193</v>
      </c>
      <c r="C4" t="s">
        <v>216</v>
      </c>
      <c r="D4" t="s">
        <v>209</v>
      </c>
      <c r="E4" t="s">
        <v>147</v>
      </c>
      <c r="F4" s="9">
        <v>35</v>
      </c>
      <c r="G4" s="9">
        <v>46</v>
      </c>
      <c r="H4" s="9">
        <v>33</v>
      </c>
      <c r="I4" s="9">
        <v>66</v>
      </c>
      <c r="J4">
        <v>0.45076604554865402</v>
      </c>
      <c r="K4">
        <v>1.0431577822882154E-2</v>
      </c>
      <c r="L4">
        <v>0.45076604554865402</v>
      </c>
      <c r="M4">
        <v>1.0431577822882154E-2</v>
      </c>
      <c r="N4">
        <v>46.8</v>
      </c>
      <c r="O4">
        <v>73</v>
      </c>
    </row>
    <row r="5" spans="1:15" x14ac:dyDescent="0.2">
      <c r="A5" s="9" t="s">
        <v>146</v>
      </c>
      <c r="B5" t="s">
        <v>193</v>
      </c>
      <c r="C5" t="s">
        <v>216</v>
      </c>
      <c r="D5" t="s">
        <v>209</v>
      </c>
      <c r="E5" t="s">
        <v>147</v>
      </c>
      <c r="F5" s="9">
        <v>33</v>
      </c>
      <c r="G5" s="9">
        <v>44</v>
      </c>
      <c r="H5" s="9">
        <v>55</v>
      </c>
      <c r="I5" s="9">
        <v>65</v>
      </c>
      <c r="J5">
        <v>0.45076604554865402</v>
      </c>
      <c r="K5">
        <v>1.0431577822882154E-2</v>
      </c>
      <c r="L5">
        <v>0.45076604554865402</v>
      </c>
      <c r="M5">
        <v>1.0431577822882154E-2</v>
      </c>
      <c r="N5">
        <v>46.8</v>
      </c>
      <c r="O5">
        <v>73</v>
      </c>
    </row>
    <row r="6" spans="1:15" x14ac:dyDescent="0.2">
      <c r="A6" s="9" t="s">
        <v>146</v>
      </c>
      <c r="B6" t="s">
        <v>193</v>
      </c>
      <c r="C6" t="s">
        <v>216</v>
      </c>
      <c r="D6" t="s">
        <v>209</v>
      </c>
      <c r="E6" t="s">
        <v>147</v>
      </c>
      <c r="F6" s="9">
        <v>40</v>
      </c>
      <c r="G6" s="9">
        <v>74</v>
      </c>
      <c r="H6" s="9">
        <v>71</v>
      </c>
      <c r="I6" s="14">
        <v>129</v>
      </c>
      <c r="J6">
        <v>0.45076604554865402</v>
      </c>
      <c r="K6">
        <v>1.0431577822882154E-2</v>
      </c>
      <c r="L6">
        <v>0.45076604554865402</v>
      </c>
      <c r="M6">
        <v>1.0431577822882154E-2</v>
      </c>
      <c r="N6">
        <v>46.8</v>
      </c>
      <c r="O6">
        <v>73</v>
      </c>
    </row>
    <row r="7" spans="1:15" x14ac:dyDescent="0.2">
      <c r="A7" s="16" t="s">
        <v>164</v>
      </c>
      <c r="B7" t="s">
        <v>198</v>
      </c>
      <c r="C7" t="s">
        <v>216</v>
      </c>
      <c r="D7" t="s">
        <v>210</v>
      </c>
      <c r="E7" t="s">
        <v>165</v>
      </c>
      <c r="F7" s="2">
        <v>59</v>
      </c>
      <c r="G7" s="2">
        <v>57</v>
      </c>
      <c r="H7" s="2">
        <v>89</v>
      </c>
      <c r="I7" s="4">
        <v>127</v>
      </c>
      <c r="J7">
        <v>0.16575186594960684</v>
      </c>
      <c r="K7">
        <v>0.24258758873136999</v>
      </c>
      <c r="L7">
        <v>0.16575186594960684</v>
      </c>
      <c r="M7">
        <v>0.24258758873136999</v>
      </c>
      <c r="N7">
        <v>50</v>
      </c>
      <c r="O7">
        <v>108.5</v>
      </c>
    </row>
    <row r="8" spans="1:15" x14ac:dyDescent="0.2">
      <c r="A8" s="16" t="s">
        <v>164</v>
      </c>
      <c r="B8" t="s">
        <v>198</v>
      </c>
      <c r="C8" t="s">
        <v>216</v>
      </c>
      <c r="D8" t="s">
        <v>210</v>
      </c>
      <c r="E8" t="s">
        <v>165</v>
      </c>
      <c r="F8" s="2">
        <v>46</v>
      </c>
      <c r="G8" s="2">
        <v>50</v>
      </c>
      <c r="H8" s="2">
        <v>79</v>
      </c>
      <c r="I8" s="4">
        <v>101</v>
      </c>
      <c r="J8">
        <v>0.16575186594960684</v>
      </c>
      <c r="K8">
        <v>0.24258758873136999</v>
      </c>
      <c r="L8">
        <v>0.16575186594960684</v>
      </c>
      <c r="M8">
        <v>0.24258758873136999</v>
      </c>
      <c r="N8">
        <v>50</v>
      </c>
      <c r="O8">
        <v>108.5</v>
      </c>
    </row>
    <row r="9" spans="1:15" x14ac:dyDescent="0.2">
      <c r="A9" s="16" t="s">
        <v>164</v>
      </c>
      <c r="B9" t="s">
        <v>198</v>
      </c>
      <c r="C9" t="s">
        <v>216</v>
      </c>
      <c r="D9" t="s">
        <v>210</v>
      </c>
      <c r="E9" t="s">
        <v>165</v>
      </c>
      <c r="F9" s="2">
        <v>40</v>
      </c>
      <c r="G9" s="2">
        <v>48</v>
      </c>
      <c r="H9" s="2">
        <v>64</v>
      </c>
      <c r="I9" s="4">
        <v>109</v>
      </c>
      <c r="J9">
        <v>0.16575186594960684</v>
      </c>
      <c r="K9">
        <v>0.24258758873136999</v>
      </c>
      <c r="L9">
        <v>0.16575186594960684</v>
      </c>
      <c r="M9">
        <v>0.24258758873136999</v>
      </c>
      <c r="N9">
        <v>50</v>
      </c>
      <c r="O9">
        <v>108.5</v>
      </c>
    </row>
    <row r="10" spans="1:15" x14ac:dyDescent="0.2">
      <c r="A10" s="16" t="s">
        <v>164</v>
      </c>
      <c r="B10" t="s">
        <v>198</v>
      </c>
      <c r="C10" t="s">
        <v>216</v>
      </c>
      <c r="D10" t="s">
        <v>210</v>
      </c>
      <c r="E10" t="s">
        <v>165</v>
      </c>
      <c r="F10" s="2">
        <v>39</v>
      </c>
      <c r="G10" s="2">
        <v>45</v>
      </c>
      <c r="H10" s="2">
        <v>48</v>
      </c>
      <c r="I10" s="4">
        <v>97</v>
      </c>
      <c r="J10">
        <v>0.16575186594960684</v>
      </c>
      <c r="K10">
        <v>0.24258758873136999</v>
      </c>
      <c r="L10">
        <v>0.16575186594960684</v>
      </c>
      <c r="M10">
        <v>0.24258758873136999</v>
      </c>
      <c r="N10">
        <v>50</v>
      </c>
      <c r="O10">
        <v>108.5</v>
      </c>
    </row>
    <row r="11" spans="1:15" x14ac:dyDescent="0.2">
      <c r="A11" s="18" t="s">
        <v>175</v>
      </c>
      <c r="B11" t="s">
        <v>199</v>
      </c>
      <c r="C11" t="s">
        <v>216</v>
      </c>
      <c r="D11" t="s">
        <v>210</v>
      </c>
      <c r="E11" t="s">
        <v>176</v>
      </c>
      <c r="F11" s="18">
        <v>31</v>
      </c>
      <c r="G11" s="18">
        <v>49</v>
      </c>
      <c r="H11" s="18">
        <v>42</v>
      </c>
      <c r="I11" s="18">
        <v>28</v>
      </c>
      <c r="J11">
        <v>0.16575186594960684</v>
      </c>
      <c r="K11">
        <v>0.24258758873136999</v>
      </c>
      <c r="L11">
        <v>0.16575186594960684</v>
      </c>
      <c r="M11">
        <v>0.24258758873136999</v>
      </c>
      <c r="N11">
        <v>53.333333333333336</v>
      </c>
      <c r="O11">
        <v>33.333333333333336</v>
      </c>
    </row>
    <row r="12" spans="1:15" x14ac:dyDescent="0.2">
      <c r="A12" s="18" t="s">
        <v>175</v>
      </c>
      <c r="B12" t="s">
        <v>199</v>
      </c>
      <c r="C12" t="s">
        <v>216</v>
      </c>
      <c r="D12" t="s">
        <v>210</v>
      </c>
      <c r="E12" t="s">
        <v>176</v>
      </c>
      <c r="F12" s="18">
        <v>49</v>
      </c>
      <c r="G12" s="18">
        <v>62</v>
      </c>
      <c r="H12" s="18">
        <v>49</v>
      </c>
      <c r="I12" s="18">
        <v>33</v>
      </c>
      <c r="J12">
        <v>0.16575186594960684</v>
      </c>
      <c r="K12">
        <v>0.24258758873136999</v>
      </c>
      <c r="L12">
        <v>0.16575186594960684</v>
      </c>
      <c r="M12">
        <v>0.24258758873136999</v>
      </c>
      <c r="N12">
        <v>53.333333333333336</v>
      </c>
      <c r="O12">
        <v>33.333333333333336</v>
      </c>
    </row>
    <row r="13" spans="1:15" x14ac:dyDescent="0.2">
      <c r="A13" s="18" t="s">
        <v>175</v>
      </c>
      <c r="B13" t="s">
        <v>199</v>
      </c>
      <c r="C13" t="s">
        <v>216</v>
      </c>
      <c r="D13" t="s">
        <v>210</v>
      </c>
      <c r="E13" t="s">
        <v>176</v>
      </c>
      <c r="F13" s="18">
        <v>54</v>
      </c>
      <c r="G13" s="18">
        <v>49</v>
      </c>
      <c r="H13" s="18">
        <v>42</v>
      </c>
      <c r="I13" s="18">
        <v>39</v>
      </c>
      <c r="J13">
        <v>0.16575186594960684</v>
      </c>
      <c r="K13">
        <v>0.24258758873136999</v>
      </c>
      <c r="L13">
        <v>0.16575186594960684</v>
      </c>
      <c r="M13">
        <v>0.24258758873136999</v>
      </c>
      <c r="N13">
        <v>53.333333333333336</v>
      </c>
      <c r="O13">
        <v>33.333333333333336</v>
      </c>
    </row>
    <row r="14" spans="1:15" x14ac:dyDescent="0.2">
      <c r="A14" s="5" t="s">
        <v>52</v>
      </c>
      <c r="B14" t="s">
        <v>190</v>
      </c>
      <c r="C14" t="s">
        <v>216</v>
      </c>
      <c r="D14" t="s">
        <v>204</v>
      </c>
      <c r="E14" t="s">
        <v>53</v>
      </c>
      <c r="F14" s="6">
        <v>19</v>
      </c>
      <c r="G14" s="5">
        <v>26</v>
      </c>
      <c r="H14" s="5">
        <v>28</v>
      </c>
      <c r="I14" s="5">
        <v>52</v>
      </c>
      <c r="J14">
        <v>0.21797703136164501</v>
      </c>
      <c r="K14">
        <v>0.4873603925675441</v>
      </c>
      <c r="L14">
        <v>0.21797703136164501</v>
      </c>
      <c r="M14">
        <v>0.4873603925675441</v>
      </c>
      <c r="N14">
        <v>34.5</v>
      </c>
      <c r="O14">
        <v>53.285714285714285</v>
      </c>
    </row>
    <row r="15" spans="1:15" x14ac:dyDescent="0.2">
      <c r="A15" s="5" t="s">
        <v>52</v>
      </c>
      <c r="B15" t="s">
        <v>190</v>
      </c>
      <c r="C15" t="s">
        <v>216</v>
      </c>
      <c r="D15" t="s">
        <v>204</v>
      </c>
      <c r="E15" t="s">
        <v>53</v>
      </c>
      <c r="F15" s="6">
        <v>21</v>
      </c>
      <c r="G15" s="5">
        <v>27</v>
      </c>
      <c r="H15" s="5">
        <v>30</v>
      </c>
      <c r="I15" s="5">
        <v>37</v>
      </c>
      <c r="J15">
        <v>0.21797703136164501</v>
      </c>
      <c r="K15">
        <v>0.4873603925675441</v>
      </c>
      <c r="L15">
        <v>0.21797703136164501</v>
      </c>
      <c r="M15">
        <v>0.4873603925675441</v>
      </c>
      <c r="N15">
        <v>34.5</v>
      </c>
      <c r="O15">
        <v>53.285714285714285</v>
      </c>
    </row>
    <row r="16" spans="1:15" x14ac:dyDescent="0.2">
      <c r="A16" s="5" t="s">
        <v>52</v>
      </c>
      <c r="B16" t="s">
        <v>190</v>
      </c>
      <c r="C16" t="s">
        <v>216</v>
      </c>
      <c r="D16" t="s">
        <v>204</v>
      </c>
      <c r="E16" t="s">
        <v>53</v>
      </c>
      <c r="F16" s="6">
        <v>23</v>
      </c>
      <c r="G16" s="5">
        <v>30</v>
      </c>
      <c r="H16" s="5">
        <v>34</v>
      </c>
      <c r="I16" s="5">
        <v>65</v>
      </c>
      <c r="J16">
        <v>0.21797703136164501</v>
      </c>
      <c r="K16">
        <v>0.4873603925675441</v>
      </c>
      <c r="L16">
        <v>0.21797703136164501</v>
      </c>
      <c r="M16">
        <v>0.4873603925675441</v>
      </c>
      <c r="N16">
        <v>34.5</v>
      </c>
      <c r="O16">
        <v>53.285714285714285</v>
      </c>
    </row>
    <row r="17" spans="1:15" x14ac:dyDescent="0.2">
      <c r="A17" s="5" t="s">
        <v>52</v>
      </c>
      <c r="B17" t="s">
        <v>190</v>
      </c>
      <c r="C17" t="s">
        <v>216</v>
      </c>
      <c r="D17" t="s">
        <v>204</v>
      </c>
      <c r="E17" t="s">
        <v>53</v>
      </c>
      <c r="F17" s="6">
        <v>28</v>
      </c>
      <c r="G17" s="5">
        <v>35</v>
      </c>
      <c r="H17" s="5">
        <v>41</v>
      </c>
      <c r="I17" s="5">
        <v>47</v>
      </c>
      <c r="J17">
        <v>0.21797703136164501</v>
      </c>
      <c r="K17">
        <v>0.4873603925675441</v>
      </c>
      <c r="L17">
        <v>0.21797703136164501</v>
      </c>
      <c r="M17">
        <v>0.4873603925675441</v>
      </c>
      <c r="N17">
        <v>34.5</v>
      </c>
      <c r="O17">
        <v>53.285714285714285</v>
      </c>
    </row>
    <row r="18" spans="1:15" x14ac:dyDescent="0.2">
      <c r="A18" s="5" t="s">
        <v>52</v>
      </c>
      <c r="B18" t="s">
        <v>190</v>
      </c>
      <c r="C18" t="s">
        <v>216</v>
      </c>
      <c r="D18" t="s">
        <v>204</v>
      </c>
      <c r="E18" t="s">
        <v>53</v>
      </c>
      <c r="F18" s="6">
        <v>31</v>
      </c>
      <c r="G18" s="5">
        <v>38</v>
      </c>
      <c r="H18" s="5">
        <v>53</v>
      </c>
      <c r="I18" s="5">
        <v>60</v>
      </c>
      <c r="J18">
        <v>0.21797703136164501</v>
      </c>
      <c r="K18">
        <v>0.4873603925675441</v>
      </c>
      <c r="L18">
        <v>0.21797703136164501</v>
      </c>
      <c r="M18">
        <v>0.4873603925675441</v>
      </c>
      <c r="N18">
        <v>34.5</v>
      </c>
      <c r="O18">
        <v>53.285714285714285</v>
      </c>
    </row>
    <row r="19" spans="1:15" x14ac:dyDescent="0.2">
      <c r="A19" s="5" t="s">
        <v>52</v>
      </c>
      <c r="B19" t="s">
        <v>190</v>
      </c>
      <c r="C19" t="s">
        <v>216</v>
      </c>
      <c r="D19" t="s">
        <v>204</v>
      </c>
      <c r="E19" t="s">
        <v>53</v>
      </c>
      <c r="F19" s="6">
        <v>26</v>
      </c>
      <c r="G19" s="5">
        <v>37</v>
      </c>
      <c r="H19" s="5">
        <v>40</v>
      </c>
      <c r="I19" s="5">
        <v>72</v>
      </c>
      <c r="J19">
        <v>0.21797703136164501</v>
      </c>
      <c r="K19">
        <v>0.4873603925675441</v>
      </c>
      <c r="L19">
        <v>0.21797703136164501</v>
      </c>
      <c r="M19">
        <v>0.4873603925675441</v>
      </c>
      <c r="N19">
        <v>34.5</v>
      </c>
      <c r="O19">
        <v>53.285714285714285</v>
      </c>
    </row>
    <row r="20" spans="1:15" x14ac:dyDescent="0.2">
      <c r="A20" s="5" t="s">
        <v>52</v>
      </c>
      <c r="B20" t="s">
        <v>190</v>
      </c>
      <c r="C20" t="s">
        <v>216</v>
      </c>
      <c r="D20" t="s">
        <v>204</v>
      </c>
      <c r="E20" t="s">
        <v>53</v>
      </c>
      <c r="F20" s="6">
        <v>29</v>
      </c>
      <c r="G20" s="5">
        <v>38</v>
      </c>
      <c r="H20" s="5">
        <v>46</v>
      </c>
      <c r="I20" s="5">
        <v>45</v>
      </c>
      <c r="J20">
        <v>0.21797703136164501</v>
      </c>
      <c r="K20">
        <v>0.4873603925675441</v>
      </c>
      <c r="L20">
        <v>0.21797703136164501</v>
      </c>
      <c r="M20">
        <v>0.4873603925675441</v>
      </c>
      <c r="N20">
        <v>34.5</v>
      </c>
      <c r="O20">
        <v>53.285714285714285</v>
      </c>
    </row>
    <row r="21" spans="1:15" x14ac:dyDescent="0.2">
      <c r="A21" s="5" t="s">
        <v>52</v>
      </c>
      <c r="B21" t="s">
        <v>190</v>
      </c>
      <c r="C21" t="s">
        <v>216</v>
      </c>
      <c r="D21" t="s">
        <v>204</v>
      </c>
      <c r="E21" t="s">
        <v>53</v>
      </c>
      <c r="F21" s="6">
        <v>31</v>
      </c>
      <c r="G21" s="5">
        <v>17</v>
      </c>
      <c r="H21" s="5">
        <v>49</v>
      </c>
      <c r="I21" s="5">
        <v>50</v>
      </c>
      <c r="J21">
        <v>0.21797703136164501</v>
      </c>
      <c r="K21">
        <v>0.4873603925675441</v>
      </c>
      <c r="L21">
        <v>0.21797703136164501</v>
      </c>
      <c r="M21">
        <v>0.4873603925675441</v>
      </c>
      <c r="N21">
        <v>34.5</v>
      </c>
      <c r="O21">
        <v>53.285714285714285</v>
      </c>
    </row>
    <row r="22" spans="1:15" x14ac:dyDescent="0.2">
      <c r="A22" s="5" t="s">
        <v>52</v>
      </c>
      <c r="B22" t="s">
        <v>190</v>
      </c>
      <c r="C22" t="s">
        <v>216</v>
      </c>
      <c r="D22" t="s">
        <v>204</v>
      </c>
      <c r="E22" t="s">
        <v>53</v>
      </c>
      <c r="F22" s="6">
        <v>33</v>
      </c>
      <c r="G22" s="5">
        <v>44</v>
      </c>
      <c r="H22" s="5">
        <v>56</v>
      </c>
      <c r="I22" s="5">
        <v>51</v>
      </c>
      <c r="J22">
        <v>0.21797703136164501</v>
      </c>
      <c r="K22">
        <v>0.4873603925675441</v>
      </c>
      <c r="L22">
        <v>0.21797703136164501</v>
      </c>
      <c r="M22">
        <v>0.4873603925675441</v>
      </c>
      <c r="N22">
        <v>34.5</v>
      </c>
      <c r="O22">
        <v>53.285714285714285</v>
      </c>
    </row>
    <row r="23" spans="1:15" x14ac:dyDescent="0.2">
      <c r="A23" s="5" t="s">
        <v>52</v>
      </c>
      <c r="B23" t="s">
        <v>190</v>
      </c>
      <c r="C23" t="s">
        <v>216</v>
      </c>
      <c r="D23" t="s">
        <v>204</v>
      </c>
      <c r="E23" t="s">
        <v>53</v>
      </c>
      <c r="F23" s="6">
        <v>36</v>
      </c>
      <c r="G23" s="5">
        <v>46</v>
      </c>
      <c r="H23" s="5">
        <v>60</v>
      </c>
      <c r="I23" s="5">
        <v>53</v>
      </c>
      <c r="J23">
        <v>0.21797703136164501</v>
      </c>
      <c r="K23">
        <v>0.4873603925675441</v>
      </c>
      <c r="L23">
        <v>0.21797703136164501</v>
      </c>
      <c r="M23">
        <v>0.4873603925675441</v>
      </c>
      <c r="N23">
        <v>34.5</v>
      </c>
      <c r="O23">
        <v>53.285714285714285</v>
      </c>
    </row>
    <row r="24" spans="1:15" x14ac:dyDescent="0.2">
      <c r="A24" s="5" t="s">
        <v>52</v>
      </c>
      <c r="B24" t="s">
        <v>190</v>
      </c>
      <c r="C24" t="s">
        <v>216</v>
      </c>
      <c r="D24" t="s">
        <v>204</v>
      </c>
      <c r="E24" t="s">
        <v>53</v>
      </c>
      <c r="F24" s="6">
        <v>39</v>
      </c>
      <c r="G24" s="5">
        <v>17</v>
      </c>
      <c r="H24" s="5">
        <v>71</v>
      </c>
      <c r="I24" s="5">
        <v>56</v>
      </c>
      <c r="J24">
        <v>0.21797703136164501</v>
      </c>
      <c r="K24">
        <v>0.4873603925675441</v>
      </c>
      <c r="L24">
        <v>0.21797703136164501</v>
      </c>
      <c r="M24">
        <v>0.4873603925675441</v>
      </c>
      <c r="N24">
        <v>34.5</v>
      </c>
      <c r="O24">
        <v>53.285714285714285</v>
      </c>
    </row>
    <row r="25" spans="1:15" x14ac:dyDescent="0.2">
      <c r="A25" s="5" t="s">
        <v>77</v>
      </c>
      <c r="B25" t="s">
        <v>189</v>
      </c>
      <c r="C25" t="s">
        <v>216</v>
      </c>
      <c r="D25" t="s">
        <v>204</v>
      </c>
      <c r="E25" t="s">
        <v>53</v>
      </c>
      <c r="F25" s="6">
        <v>25</v>
      </c>
      <c r="G25" s="5">
        <v>34</v>
      </c>
      <c r="H25" s="5">
        <v>44</v>
      </c>
      <c r="I25" s="5">
        <v>48</v>
      </c>
      <c r="J25">
        <v>0.21797703136164501</v>
      </c>
      <c r="K25">
        <v>0.4873603925675441</v>
      </c>
      <c r="L25">
        <v>0.21797703136164501</v>
      </c>
      <c r="M25">
        <v>0.4873603925675441</v>
      </c>
      <c r="N25">
        <v>34.5</v>
      </c>
      <c r="O25">
        <v>53.285714285714285</v>
      </c>
    </row>
    <row r="26" spans="1:15" x14ac:dyDescent="0.2">
      <c r="A26" s="5" t="s">
        <v>81</v>
      </c>
      <c r="B26" t="s">
        <v>188</v>
      </c>
      <c r="C26" t="s">
        <v>216</v>
      </c>
      <c r="D26" t="s">
        <v>204</v>
      </c>
      <c r="E26" t="s">
        <v>53</v>
      </c>
      <c r="F26" s="6">
        <v>28</v>
      </c>
      <c r="G26" s="5">
        <v>40</v>
      </c>
      <c r="H26" s="5">
        <v>33</v>
      </c>
      <c r="I26" s="5">
        <v>64</v>
      </c>
      <c r="J26">
        <v>0.21797703136164501</v>
      </c>
      <c r="K26">
        <v>0.4873603925675441</v>
      </c>
      <c r="L26">
        <v>0.21797703136164501</v>
      </c>
      <c r="M26">
        <v>0.4873603925675441</v>
      </c>
      <c r="N26">
        <v>34.5</v>
      </c>
      <c r="O26">
        <v>53.285714285714285</v>
      </c>
    </row>
    <row r="27" spans="1:15" x14ac:dyDescent="0.2">
      <c r="A27" s="5" t="s">
        <v>81</v>
      </c>
      <c r="B27" t="s">
        <v>188</v>
      </c>
      <c r="C27" t="s">
        <v>216</v>
      </c>
      <c r="D27" t="s">
        <v>204</v>
      </c>
      <c r="E27" t="s">
        <v>53</v>
      </c>
      <c r="F27" s="6">
        <v>36</v>
      </c>
      <c r="G27" s="5">
        <v>54</v>
      </c>
      <c r="H27" s="5">
        <v>48</v>
      </c>
      <c r="I27" s="5">
        <v>46</v>
      </c>
      <c r="J27">
        <v>0.21797703136164501</v>
      </c>
      <c r="K27">
        <v>0.4873603925675441</v>
      </c>
      <c r="L27">
        <v>0.21797703136164501</v>
      </c>
      <c r="M27">
        <v>0.4873603925675441</v>
      </c>
      <c r="N27">
        <v>34.5</v>
      </c>
      <c r="O27">
        <v>53.285714285714285</v>
      </c>
    </row>
    <row r="28" spans="1:15" x14ac:dyDescent="0.2">
      <c r="A28" s="13" t="s">
        <v>137</v>
      </c>
      <c r="B28" t="s">
        <v>192</v>
      </c>
      <c r="C28" t="s">
        <v>216</v>
      </c>
      <c r="D28" t="s">
        <v>208</v>
      </c>
      <c r="E28" t="s">
        <v>138</v>
      </c>
      <c r="F28" s="13">
        <v>19</v>
      </c>
      <c r="G28" s="13">
        <v>18</v>
      </c>
      <c r="H28" s="13">
        <v>26</v>
      </c>
      <c r="I28" s="13">
        <v>50</v>
      </c>
      <c r="J28">
        <v>-0.19254385964912282</v>
      </c>
      <c r="K28">
        <v>0.91798941798941802</v>
      </c>
      <c r="L28">
        <v>-0.19254385964912282</v>
      </c>
      <c r="M28">
        <v>0.91798941798941802</v>
      </c>
      <c r="N28">
        <v>17.6666666666667</v>
      </c>
      <c r="O28">
        <v>34.333333333333336</v>
      </c>
    </row>
    <row r="29" spans="1:15" x14ac:dyDescent="0.2">
      <c r="A29" s="13" t="s">
        <v>137</v>
      </c>
      <c r="B29" t="s">
        <v>192</v>
      </c>
      <c r="C29" t="s">
        <v>216</v>
      </c>
      <c r="D29" t="s">
        <v>208</v>
      </c>
      <c r="E29" t="s">
        <v>138</v>
      </c>
      <c r="F29" s="13">
        <v>16</v>
      </c>
      <c r="G29" s="13">
        <v>14</v>
      </c>
      <c r="H29" s="13">
        <v>27</v>
      </c>
      <c r="I29" s="13">
        <v>46</v>
      </c>
      <c r="J29">
        <v>-0.19254385964912282</v>
      </c>
      <c r="K29">
        <v>0.91798941798941802</v>
      </c>
      <c r="L29">
        <v>-0.19254385964912282</v>
      </c>
      <c r="M29">
        <v>0.91798941798941802</v>
      </c>
      <c r="N29">
        <v>17.666666666666668</v>
      </c>
      <c r="O29">
        <v>34.333333333333336</v>
      </c>
    </row>
    <row r="30" spans="1:15" x14ac:dyDescent="0.2">
      <c r="A30" s="13" t="s">
        <v>137</v>
      </c>
      <c r="B30" t="s">
        <v>192</v>
      </c>
      <c r="C30" t="s">
        <v>216</v>
      </c>
      <c r="D30" t="s">
        <v>208</v>
      </c>
      <c r="E30" t="s">
        <v>138</v>
      </c>
      <c r="F30" s="13">
        <v>35</v>
      </c>
      <c r="G30" s="13">
        <v>21</v>
      </c>
      <c r="H30" s="13">
        <v>50</v>
      </c>
      <c r="I30" s="13">
        <v>57</v>
      </c>
      <c r="J30">
        <v>-0.19254385964912282</v>
      </c>
      <c r="K30">
        <v>0.91798941798941802</v>
      </c>
      <c r="L30">
        <v>-0.19254385964912282</v>
      </c>
      <c r="M30">
        <v>0.91798941798941802</v>
      </c>
      <c r="N30">
        <v>17.666666666666668</v>
      </c>
      <c r="O30">
        <v>34.333333333333336</v>
      </c>
    </row>
    <row r="31" spans="1:15" x14ac:dyDescent="0.2">
      <c r="A31" s="9" t="s">
        <v>105</v>
      </c>
      <c r="B31" t="s">
        <v>195</v>
      </c>
      <c r="C31" t="s">
        <v>216</v>
      </c>
      <c r="D31" t="s">
        <v>205</v>
      </c>
      <c r="E31" t="s">
        <v>106</v>
      </c>
      <c r="F31" s="10">
        <v>43</v>
      </c>
      <c r="G31" s="9">
        <v>51</v>
      </c>
      <c r="H31" s="9">
        <v>50</v>
      </c>
      <c r="I31" s="9">
        <v>75</v>
      </c>
      <c r="J31">
        <v>0.2975938789892279</v>
      </c>
      <c r="K31">
        <v>4.4356343982758201E-2</v>
      </c>
      <c r="L31">
        <v>0.2975938789892279</v>
      </c>
      <c r="M31">
        <v>4.4356343982758201E-2</v>
      </c>
      <c r="N31">
        <v>45.25</v>
      </c>
      <c r="O31">
        <v>67.75</v>
      </c>
    </row>
    <row r="32" spans="1:15" x14ac:dyDescent="0.2">
      <c r="A32" s="9" t="s">
        <v>105</v>
      </c>
      <c r="B32" t="s">
        <v>195</v>
      </c>
      <c r="C32" t="s">
        <v>216</v>
      </c>
      <c r="D32" t="s">
        <v>205</v>
      </c>
      <c r="E32" t="s">
        <v>106</v>
      </c>
      <c r="F32" s="10">
        <v>30</v>
      </c>
      <c r="G32" s="9">
        <v>46</v>
      </c>
      <c r="H32" s="9">
        <v>41</v>
      </c>
      <c r="I32" s="9">
        <v>63</v>
      </c>
      <c r="J32">
        <v>0.2975938789892279</v>
      </c>
      <c r="K32">
        <v>4.4356343982758201E-2</v>
      </c>
      <c r="L32">
        <v>0.2975938789892279</v>
      </c>
      <c r="M32">
        <v>4.4356343982758201E-2</v>
      </c>
      <c r="N32">
        <v>45.25</v>
      </c>
      <c r="O32">
        <v>67.75</v>
      </c>
    </row>
    <row r="33" spans="1:15" x14ac:dyDescent="0.2">
      <c r="A33" s="9" t="s">
        <v>105</v>
      </c>
      <c r="B33" t="s">
        <v>195</v>
      </c>
      <c r="C33" t="s">
        <v>216</v>
      </c>
      <c r="D33" t="s">
        <v>205</v>
      </c>
      <c r="E33" t="s">
        <v>106</v>
      </c>
      <c r="F33" s="10">
        <v>35</v>
      </c>
      <c r="G33" s="9">
        <v>43</v>
      </c>
      <c r="H33" s="9">
        <v>53</v>
      </c>
      <c r="I33" s="9">
        <v>73</v>
      </c>
      <c r="J33">
        <v>0.2975938789892279</v>
      </c>
      <c r="K33">
        <v>4.4356343982758201E-2</v>
      </c>
      <c r="L33">
        <v>0.2975938789892279</v>
      </c>
      <c r="M33">
        <v>4.4356343982758201E-2</v>
      </c>
      <c r="N33">
        <v>45.25</v>
      </c>
      <c r="O33">
        <v>67.75</v>
      </c>
    </row>
    <row r="34" spans="1:15" x14ac:dyDescent="0.2">
      <c r="A34" s="9" t="s">
        <v>105</v>
      </c>
      <c r="B34" t="s">
        <v>195</v>
      </c>
      <c r="C34" t="s">
        <v>216</v>
      </c>
      <c r="D34" t="s">
        <v>205</v>
      </c>
      <c r="E34" t="s">
        <v>106</v>
      </c>
      <c r="F34" s="10">
        <v>33</v>
      </c>
      <c r="G34" s="9">
        <v>41</v>
      </c>
      <c r="H34" s="9">
        <v>44</v>
      </c>
      <c r="I34" s="9">
        <v>60</v>
      </c>
      <c r="J34">
        <v>0.2975938789892279</v>
      </c>
      <c r="K34">
        <v>4.4356343982758201E-2</v>
      </c>
      <c r="L34">
        <v>0.2975938789892279</v>
      </c>
      <c r="M34">
        <v>4.4356343982758201E-2</v>
      </c>
      <c r="N34">
        <v>45.25</v>
      </c>
      <c r="O34">
        <v>67.75</v>
      </c>
    </row>
    <row r="35" spans="1:15" x14ac:dyDescent="0.2">
      <c r="A35" s="2" t="s">
        <v>117</v>
      </c>
      <c r="B35" t="s">
        <v>194</v>
      </c>
      <c r="C35" t="s">
        <v>216</v>
      </c>
      <c r="D35" t="s">
        <v>206</v>
      </c>
      <c r="E35" t="s">
        <v>118</v>
      </c>
      <c r="F35" s="2">
        <v>3</v>
      </c>
      <c r="G35" s="2">
        <v>6</v>
      </c>
      <c r="H35" s="2"/>
      <c r="I35" s="2"/>
      <c r="J35">
        <v>1.1904761904761905</v>
      </c>
      <c r="L35">
        <v>1.1904761904761905</v>
      </c>
      <c r="N35">
        <v>26.111111111111111</v>
      </c>
      <c r="O35">
        <v>57.466666666666669</v>
      </c>
    </row>
    <row r="36" spans="1:15" x14ac:dyDescent="0.2">
      <c r="A36" s="2" t="s">
        <v>117</v>
      </c>
      <c r="B36" t="s">
        <v>194</v>
      </c>
      <c r="C36" t="s">
        <v>216</v>
      </c>
      <c r="D36" t="s">
        <v>206</v>
      </c>
      <c r="E36" t="s">
        <v>118</v>
      </c>
      <c r="F36" s="2">
        <v>5</v>
      </c>
      <c r="G36" s="2">
        <v>15</v>
      </c>
      <c r="H36" s="2"/>
      <c r="I36" s="2"/>
      <c r="J36">
        <v>1.1904761904761905</v>
      </c>
      <c r="L36">
        <v>1.1904761904761905</v>
      </c>
      <c r="N36">
        <v>26.111111111111111</v>
      </c>
      <c r="O36">
        <v>57.466666666666669</v>
      </c>
    </row>
    <row r="37" spans="1:15" x14ac:dyDescent="0.2">
      <c r="A37" s="2" t="s">
        <v>117</v>
      </c>
      <c r="B37" t="s">
        <v>194</v>
      </c>
      <c r="C37" t="s">
        <v>216</v>
      </c>
      <c r="D37" t="s">
        <v>206</v>
      </c>
      <c r="E37" t="s">
        <v>118</v>
      </c>
      <c r="F37" s="2">
        <v>7</v>
      </c>
      <c r="G37" s="2">
        <v>11</v>
      </c>
      <c r="H37" s="2"/>
      <c r="I37" s="2"/>
      <c r="J37">
        <v>1.1904761904761905</v>
      </c>
      <c r="L37">
        <v>1.1904761904761905</v>
      </c>
      <c r="N37">
        <v>26.111111111111111</v>
      </c>
      <c r="O37">
        <v>57.466666666666669</v>
      </c>
    </row>
    <row r="38" spans="1:15" x14ac:dyDescent="0.2">
      <c r="A38" s="2" t="s">
        <v>12</v>
      </c>
      <c r="B38" t="s">
        <v>185</v>
      </c>
      <c r="C38" t="s">
        <v>216</v>
      </c>
      <c r="D38" t="s">
        <v>203</v>
      </c>
      <c r="E38" t="s">
        <v>13</v>
      </c>
      <c r="F38" s="3">
        <v>21</v>
      </c>
      <c r="G38" s="2">
        <v>26</v>
      </c>
      <c r="H38" s="2">
        <v>26</v>
      </c>
      <c r="I38" s="2">
        <v>27</v>
      </c>
      <c r="J38">
        <v>0.32253844504341389</v>
      </c>
      <c r="K38">
        <v>0.43026343570372999</v>
      </c>
      <c r="L38">
        <v>0.32253844504341389</v>
      </c>
      <c r="M38">
        <v>0.43026343570372999</v>
      </c>
      <c r="N38">
        <v>26.111111111111111</v>
      </c>
      <c r="O38">
        <v>57.466666666666669</v>
      </c>
    </row>
    <row r="39" spans="1:15" x14ac:dyDescent="0.2">
      <c r="A39" s="2" t="s">
        <v>12</v>
      </c>
      <c r="B39" t="s">
        <v>185</v>
      </c>
      <c r="C39" t="s">
        <v>216</v>
      </c>
      <c r="D39" t="s">
        <v>203</v>
      </c>
      <c r="E39" t="s">
        <v>13</v>
      </c>
      <c r="F39" s="3">
        <v>26</v>
      </c>
      <c r="G39" s="2">
        <v>36</v>
      </c>
      <c r="H39" s="2">
        <v>35</v>
      </c>
      <c r="I39" s="4">
        <v>72</v>
      </c>
      <c r="J39">
        <v>0.32253844504341389</v>
      </c>
      <c r="K39">
        <v>0.43026343570372999</v>
      </c>
      <c r="L39">
        <v>0.32253844504341389</v>
      </c>
      <c r="M39">
        <v>0.43026343570372999</v>
      </c>
      <c r="N39">
        <v>26.111111111111111</v>
      </c>
      <c r="O39">
        <v>57.466666666666669</v>
      </c>
    </row>
    <row r="40" spans="1:15" x14ac:dyDescent="0.2">
      <c r="A40" s="2" t="s">
        <v>12</v>
      </c>
      <c r="B40" t="s">
        <v>185</v>
      </c>
      <c r="C40" t="s">
        <v>216</v>
      </c>
      <c r="D40" t="s">
        <v>203</v>
      </c>
      <c r="E40" t="s">
        <v>13</v>
      </c>
      <c r="F40" s="3">
        <v>34</v>
      </c>
      <c r="G40" s="2">
        <v>41</v>
      </c>
      <c r="H40" s="2">
        <v>40</v>
      </c>
      <c r="I40" s="4">
        <v>108</v>
      </c>
      <c r="J40">
        <v>0.32253844504341389</v>
      </c>
      <c r="K40">
        <v>0.43026343570372999</v>
      </c>
      <c r="L40">
        <v>0.32253844504341389</v>
      </c>
      <c r="M40">
        <v>0.43026343570372999</v>
      </c>
      <c r="N40">
        <v>26.111111111111111</v>
      </c>
      <c r="O40">
        <v>57.466666666666669</v>
      </c>
    </row>
    <row r="41" spans="1:15" x14ac:dyDescent="0.2">
      <c r="A41" s="2" t="s">
        <v>21</v>
      </c>
      <c r="B41" t="s">
        <v>186</v>
      </c>
      <c r="C41" t="s">
        <v>216</v>
      </c>
      <c r="D41" t="s">
        <v>203</v>
      </c>
      <c r="E41" t="s">
        <v>13</v>
      </c>
      <c r="F41" s="3">
        <v>8.25</v>
      </c>
      <c r="G41" s="2">
        <v>11</v>
      </c>
      <c r="H41" s="2">
        <v>14</v>
      </c>
      <c r="I41" s="2">
        <v>16</v>
      </c>
      <c r="J41">
        <v>0.32253844504341389</v>
      </c>
      <c r="K41">
        <v>0.43026343570372999</v>
      </c>
      <c r="L41">
        <v>0.32253844504341389</v>
      </c>
      <c r="M41">
        <v>0.43026343570372999</v>
      </c>
      <c r="N41">
        <v>26.111111111111111</v>
      </c>
      <c r="O41">
        <v>57.466666666666669</v>
      </c>
    </row>
    <row r="42" spans="1:15" x14ac:dyDescent="0.2">
      <c r="A42" s="2" t="s">
        <v>21</v>
      </c>
      <c r="B42" t="s">
        <v>186</v>
      </c>
      <c r="C42" t="s">
        <v>216</v>
      </c>
      <c r="D42" t="s">
        <v>203</v>
      </c>
      <c r="E42" t="s">
        <v>13</v>
      </c>
      <c r="F42" s="3">
        <v>11.77</v>
      </c>
      <c r="G42" s="2">
        <v>18</v>
      </c>
      <c r="H42" s="2">
        <v>21</v>
      </c>
      <c r="I42" s="2">
        <v>33</v>
      </c>
      <c r="J42">
        <v>0.32253844504341389</v>
      </c>
      <c r="K42">
        <v>0.43026343570372999</v>
      </c>
      <c r="L42">
        <v>0.32253844504341389</v>
      </c>
      <c r="M42">
        <v>0.43026343570372999</v>
      </c>
      <c r="N42">
        <v>26.111111111111111</v>
      </c>
      <c r="O42">
        <v>57.466666666666669</v>
      </c>
    </row>
    <row r="43" spans="1:15" x14ac:dyDescent="0.2">
      <c r="A43" s="2" t="s">
        <v>21</v>
      </c>
      <c r="B43" t="s">
        <v>186</v>
      </c>
      <c r="C43" t="s">
        <v>216</v>
      </c>
      <c r="D43" t="s">
        <v>203</v>
      </c>
      <c r="E43" t="s">
        <v>13</v>
      </c>
      <c r="F43" s="3">
        <v>16.100000000000001</v>
      </c>
      <c r="G43" s="2">
        <v>25</v>
      </c>
      <c r="H43" s="2">
        <v>33</v>
      </c>
      <c r="I43" s="2">
        <v>42</v>
      </c>
      <c r="J43">
        <v>0.32253844504341389</v>
      </c>
      <c r="K43">
        <v>0.43026343570372999</v>
      </c>
      <c r="L43">
        <v>0.32253844504341389</v>
      </c>
      <c r="M43">
        <v>0.43026343570372999</v>
      </c>
      <c r="N43">
        <v>26.111111111111111</v>
      </c>
      <c r="O43">
        <v>57.466666666666669</v>
      </c>
    </row>
    <row r="44" spans="1:15" x14ac:dyDescent="0.2">
      <c r="A44" s="2" t="s">
        <v>21</v>
      </c>
      <c r="B44" t="s">
        <v>186</v>
      </c>
      <c r="C44" t="s">
        <v>216</v>
      </c>
      <c r="D44" t="s">
        <v>203</v>
      </c>
      <c r="E44" t="s">
        <v>13</v>
      </c>
      <c r="F44" s="3">
        <v>23.18</v>
      </c>
      <c r="G44" s="2">
        <v>34</v>
      </c>
      <c r="H44" s="2">
        <v>42</v>
      </c>
      <c r="I44" s="2">
        <v>52</v>
      </c>
      <c r="J44">
        <v>0.32253844504341389</v>
      </c>
      <c r="K44">
        <v>0.43026343570372999</v>
      </c>
      <c r="L44">
        <v>0.32253844504341389</v>
      </c>
      <c r="M44">
        <v>0.43026343570372999</v>
      </c>
      <c r="N44">
        <v>26.111111111111111</v>
      </c>
      <c r="O44">
        <v>57.466666666666669</v>
      </c>
    </row>
    <row r="45" spans="1:15" x14ac:dyDescent="0.2">
      <c r="A45" s="2" t="s">
        <v>31</v>
      </c>
      <c r="B45" t="s">
        <v>186</v>
      </c>
      <c r="C45" t="s">
        <v>216</v>
      </c>
      <c r="D45" t="s">
        <v>203</v>
      </c>
      <c r="E45" t="s">
        <v>13</v>
      </c>
      <c r="F45" s="3">
        <v>33</v>
      </c>
      <c r="G45" s="2">
        <v>39</v>
      </c>
      <c r="H45" s="2">
        <v>33</v>
      </c>
      <c r="I45" s="4">
        <v>87</v>
      </c>
      <c r="J45">
        <v>0.32253844504341389</v>
      </c>
      <c r="K45">
        <v>0.43026343570372999</v>
      </c>
      <c r="L45">
        <v>0.32253844504341389</v>
      </c>
      <c r="M45">
        <v>0.43026343570372999</v>
      </c>
      <c r="N45">
        <v>26.111111111111111</v>
      </c>
      <c r="O45">
        <v>57.466666666666669</v>
      </c>
    </row>
    <row r="46" spans="1:15" x14ac:dyDescent="0.2">
      <c r="A46" s="2" t="s">
        <v>31</v>
      </c>
      <c r="B46" t="s">
        <v>186</v>
      </c>
      <c r="C46" t="s">
        <v>216</v>
      </c>
      <c r="D46" t="s">
        <v>203</v>
      </c>
      <c r="E46" t="s">
        <v>13</v>
      </c>
      <c r="F46" s="3">
        <v>21</v>
      </c>
      <c r="G46" s="2">
        <v>23</v>
      </c>
      <c r="H46" s="2">
        <v>39</v>
      </c>
      <c r="I46" s="2">
        <v>45</v>
      </c>
      <c r="J46">
        <v>0.32253844504341389</v>
      </c>
      <c r="K46">
        <v>0.43026343570372999</v>
      </c>
      <c r="L46">
        <v>0.32253844504341389</v>
      </c>
      <c r="M46">
        <v>0.43026343570372999</v>
      </c>
      <c r="N46">
        <v>26.111111111111111</v>
      </c>
      <c r="O46">
        <v>57.466666666666669</v>
      </c>
    </row>
    <row r="47" spans="1:15" x14ac:dyDescent="0.2">
      <c r="A47" s="2" t="s">
        <v>31</v>
      </c>
      <c r="B47" t="s">
        <v>186</v>
      </c>
      <c r="C47" t="s">
        <v>216</v>
      </c>
      <c r="D47" t="s">
        <v>203</v>
      </c>
      <c r="E47" t="s">
        <v>13</v>
      </c>
      <c r="F47" s="3">
        <v>14</v>
      </c>
      <c r="G47" s="2">
        <v>11</v>
      </c>
      <c r="H47" s="2">
        <v>38</v>
      </c>
      <c r="I47" s="2">
        <v>30</v>
      </c>
      <c r="J47">
        <v>0.32253844504341389</v>
      </c>
      <c r="K47">
        <v>0.43026343570372999</v>
      </c>
      <c r="L47">
        <v>0.32253844504341389</v>
      </c>
      <c r="M47">
        <v>0.43026343570372999</v>
      </c>
      <c r="N47">
        <v>26.111111111111111</v>
      </c>
      <c r="O47">
        <v>57.466666666666669</v>
      </c>
    </row>
    <row r="48" spans="1:15" x14ac:dyDescent="0.2">
      <c r="A48" s="2" t="s">
        <v>39</v>
      </c>
      <c r="B48" t="s">
        <v>187</v>
      </c>
      <c r="C48" t="s">
        <v>216</v>
      </c>
      <c r="D48" t="s">
        <v>203</v>
      </c>
      <c r="E48" t="s">
        <v>13</v>
      </c>
      <c r="F48" s="3">
        <v>28</v>
      </c>
      <c r="G48" s="2">
        <v>43</v>
      </c>
      <c r="H48" s="2">
        <v>95</v>
      </c>
      <c r="I48" s="2">
        <v>94</v>
      </c>
      <c r="J48">
        <v>0.32253844504341389</v>
      </c>
      <c r="K48">
        <v>0.43026343570372999</v>
      </c>
      <c r="L48">
        <v>0.32253844504341389</v>
      </c>
      <c r="M48">
        <v>0.43026343570372999</v>
      </c>
      <c r="N48">
        <v>26.111111111111111</v>
      </c>
      <c r="O48">
        <v>57.466666666666669</v>
      </c>
    </row>
    <row r="49" spans="1:15" x14ac:dyDescent="0.2">
      <c r="A49" s="2" t="s">
        <v>39</v>
      </c>
      <c r="B49" t="s">
        <v>187</v>
      </c>
      <c r="C49" t="s">
        <v>216</v>
      </c>
      <c r="D49" t="s">
        <v>203</v>
      </c>
      <c r="E49" t="s">
        <v>13</v>
      </c>
      <c r="F49" s="3">
        <v>25</v>
      </c>
      <c r="G49" s="2">
        <v>39</v>
      </c>
      <c r="H49" s="2">
        <v>54</v>
      </c>
      <c r="I49" s="2">
        <v>69</v>
      </c>
      <c r="J49">
        <v>0.32253844504341389</v>
      </c>
      <c r="K49">
        <v>0.43026343570372999</v>
      </c>
      <c r="L49">
        <v>0.32253844504341389</v>
      </c>
      <c r="M49">
        <v>0.43026343570372999</v>
      </c>
      <c r="N49">
        <v>26.111111111111111</v>
      </c>
      <c r="O49">
        <v>57.466666666666669</v>
      </c>
    </row>
    <row r="50" spans="1:15" x14ac:dyDescent="0.2">
      <c r="A50" s="2" t="s">
        <v>39</v>
      </c>
      <c r="B50" t="s">
        <v>187</v>
      </c>
      <c r="C50" t="s">
        <v>216</v>
      </c>
      <c r="D50" t="s">
        <v>203</v>
      </c>
      <c r="E50" t="s">
        <v>13</v>
      </c>
      <c r="F50" s="3">
        <v>24</v>
      </c>
      <c r="G50" s="2">
        <v>33</v>
      </c>
      <c r="H50" s="2">
        <v>26</v>
      </c>
      <c r="I50" s="4">
        <v>75</v>
      </c>
      <c r="J50">
        <v>0.32253844504341389</v>
      </c>
      <c r="K50">
        <v>0.43026343570372999</v>
      </c>
      <c r="L50">
        <v>0.32253844504341389</v>
      </c>
      <c r="M50">
        <v>0.43026343570372999</v>
      </c>
      <c r="N50">
        <v>26.111111111111111</v>
      </c>
      <c r="O50">
        <v>57.466666666666669</v>
      </c>
    </row>
    <row r="51" spans="1:15" x14ac:dyDescent="0.2">
      <c r="A51" s="2" t="s">
        <v>39</v>
      </c>
      <c r="B51" t="s">
        <v>187</v>
      </c>
      <c r="C51" t="s">
        <v>216</v>
      </c>
      <c r="D51" t="s">
        <v>203</v>
      </c>
      <c r="E51" t="s">
        <v>13</v>
      </c>
      <c r="F51" s="3">
        <v>22</v>
      </c>
      <c r="G51" s="2">
        <v>33</v>
      </c>
      <c r="H51" s="2">
        <v>22</v>
      </c>
      <c r="I51" s="2">
        <v>31</v>
      </c>
      <c r="J51">
        <v>0.32253844504341389</v>
      </c>
      <c r="K51">
        <v>0.43026343570372999</v>
      </c>
      <c r="L51">
        <v>0.32253844504341389</v>
      </c>
      <c r="M51">
        <v>0.43026343570372999</v>
      </c>
      <c r="N51">
        <v>26.111111111111111</v>
      </c>
      <c r="O51">
        <v>57.466666666666669</v>
      </c>
    </row>
    <row r="52" spans="1:15" x14ac:dyDescent="0.2">
      <c r="A52" s="2" t="s">
        <v>39</v>
      </c>
      <c r="B52" t="s">
        <v>187</v>
      </c>
      <c r="C52" t="s">
        <v>216</v>
      </c>
      <c r="D52" t="s">
        <v>203</v>
      </c>
      <c r="E52" t="s">
        <v>13</v>
      </c>
      <c r="F52" s="3">
        <v>17</v>
      </c>
      <c r="G52" s="2">
        <v>26</v>
      </c>
      <c r="H52" s="2">
        <v>43</v>
      </c>
      <c r="I52" s="4">
        <v>81</v>
      </c>
      <c r="J52">
        <v>0.32253844504341389</v>
      </c>
      <c r="K52">
        <v>0.43026343570372999</v>
      </c>
      <c r="L52">
        <v>0.32253844504341389</v>
      </c>
      <c r="M52">
        <v>0.43026343570372999</v>
      </c>
      <c r="N52">
        <v>26.111111111111111</v>
      </c>
      <c r="O52">
        <v>57.466666666666669</v>
      </c>
    </row>
    <row r="53" spans="1:15" x14ac:dyDescent="0.2">
      <c r="A53" s="7" t="s">
        <v>87</v>
      </c>
      <c r="B53" t="s">
        <v>191</v>
      </c>
      <c r="C53" t="s">
        <v>216</v>
      </c>
      <c r="D53" t="s">
        <v>203</v>
      </c>
      <c r="E53" t="s">
        <v>88</v>
      </c>
      <c r="F53" s="8"/>
      <c r="G53" s="7"/>
      <c r="H53" s="7"/>
      <c r="I53" s="7"/>
      <c r="J53">
        <v>0.32253844504341389</v>
      </c>
      <c r="K53">
        <v>0.43026343570372999</v>
      </c>
      <c r="L53">
        <v>0.32253844504341389</v>
      </c>
      <c r="M53">
        <v>0.43026343570372999</v>
      </c>
      <c r="N53">
        <v>7</v>
      </c>
      <c r="O53">
        <v>10.166666666666666</v>
      </c>
    </row>
    <row r="54" spans="1:15" x14ac:dyDescent="0.2">
      <c r="A54" s="7" t="s">
        <v>87</v>
      </c>
      <c r="B54" t="s">
        <v>191</v>
      </c>
      <c r="C54" t="s">
        <v>216</v>
      </c>
      <c r="D54" t="s">
        <v>203</v>
      </c>
      <c r="E54" t="s">
        <v>88</v>
      </c>
      <c r="F54" s="8">
        <v>1.6</v>
      </c>
      <c r="G54" s="7">
        <v>5</v>
      </c>
      <c r="H54" s="7">
        <v>2</v>
      </c>
      <c r="I54" s="7">
        <v>4</v>
      </c>
      <c r="J54">
        <v>0.32253844504341389</v>
      </c>
      <c r="K54">
        <v>0.43026343570372999</v>
      </c>
      <c r="L54">
        <v>0.32253844504341389</v>
      </c>
      <c r="M54">
        <v>0.43026343570372999</v>
      </c>
      <c r="N54">
        <v>7</v>
      </c>
      <c r="O54">
        <v>10.166666666666666</v>
      </c>
    </row>
    <row r="55" spans="1:15" x14ac:dyDescent="0.2">
      <c r="A55" s="7" t="s">
        <v>87</v>
      </c>
      <c r="B55" t="s">
        <v>191</v>
      </c>
      <c r="C55" t="s">
        <v>216</v>
      </c>
      <c r="D55" t="s">
        <v>203</v>
      </c>
      <c r="E55" t="s">
        <v>88</v>
      </c>
      <c r="F55" s="8">
        <v>15.2</v>
      </c>
      <c r="G55" s="7">
        <v>14</v>
      </c>
      <c r="H55" s="7">
        <v>23</v>
      </c>
      <c r="I55" s="7">
        <v>16</v>
      </c>
      <c r="J55">
        <v>0.32253844504341389</v>
      </c>
      <c r="K55">
        <v>0.43026343570372999</v>
      </c>
      <c r="L55">
        <v>0.32253844504341389</v>
      </c>
      <c r="M55">
        <v>0.43026343570372999</v>
      </c>
      <c r="N55">
        <v>7</v>
      </c>
      <c r="O55">
        <v>10.166666666666666</v>
      </c>
    </row>
    <row r="56" spans="1:15" x14ac:dyDescent="0.2">
      <c r="A56" s="7" t="s">
        <v>87</v>
      </c>
      <c r="B56" t="s">
        <v>191</v>
      </c>
      <c r="C56" t="s">
        <v>216</v>
      </c>
      <c r="D56" t="s">
        <v>203</v>
      </c>
      <c r="E56" t="s">
        <v>88</v>
      </c>
      <c r="F56" s="8">
        <v>7.3</v>
      </c>
      <c r="G56" s="7">
        <v>3</v>
      </c>
      <c r="H56" s="7">
        <v>11</v>
      </c>
      <c r="I56" s="7">
        <v>10</v>
      </c>
      <c r="J56">
        <v>0.32253844504341389</v>
      </c>
      <c r="K56">
        <v>0.43026343570372999</v>
      </c>
      <c r="L56">
        <v>0.32253844504341389</v>
      </c>
      <c r="M56">
        <v>0.43026343570372999</v>
      </c>
      <c r="N56">
        <v>7</v>
      </c>
      <c r="O56">
        <v>10.166666666666666</v>
      </c>
    </row>
    <row r="57" spans="1:15" x14ac:dyDescent="0.2">
      <c r="A57" s="7" t="s">
        <v>87</v>
      </c>
      <c r="B57" t="s">
        <v>191</v>
      </c>
      <c r="C57" t="s">
        <v>216</v>
      </c>
      <c r="D57" t="s">
        <v>203</v>
      </c>
      <c r="E57" t="s">
        <v>88</v>
      </c>
      <c r="F57" s="8">
        <v>9.3000000000000007</v>
      </c>
      <c r="G57" s="7">
        <v>8</v>
      </c>
      <c r="H57" s="7">
        <v>14</v>
      </c>
      <c r="I57" s="7">
        <v>11</v>
      </c>
      <c r="J57">
        <v>0.32253844504341389</v>
      </c>
      <c r="K57">
        <v>0.43026343570372999</v>
      </c>
      <c r="L57">
        <v>0.32253844504341389</v>
      </c>
      <c r="M57">
        <v>0.43026343570372999</v>
      </c>
      <c r="N57">
        <v>7</v>
      </c>
      <c r="O57">
        <v>10.166666666666666</v>
      </c>
    </row>
    <row r="58" spans="1:15" x14ac:dyDescent="0.2">
      <c r="A58" s="7" t="s">
        <v>87</v>
      </c>
      <c r="B58" t="s">
        <v>191</v>
      </c>
      <c r="C58" t="s">
        <v>216</v>
      </c>
      <c r="D58" t="s">
        <v>203</v>
      </c>
      <c r="E58" t="s">
        <v>88</v>
      </c>
      <c r="F58" s="8">
        <v>10.7</v>
      </c>
      <c r="G58" s="7">
        <v>6</v>
      </c>
      <c r="H58" s="7">
        <v>17</v>
      </c>
      <c r="I58" s="7">
        <v>17</v>
      </c>
      <c r="J58">
        <v>0.32253844504341389</v>
      </c>
      <c r="K58">
        <v>0.43026343570372999</v>
      </c>
      <c r="L58">
        <v>0.32253844504341389</v>
      </c>
      <c r="M58">
        <v>0.43026343570372999</v>
      </c>
      <c r="N58">
        <v>7</v>
      </c>
      <c r="O58">
        <v>10.166666666666666</v>
      </c>
    </row>
    <row r="59" spans="1:15" x14ac:dyDescent="0.2">
      <c r="A59" s="7" t="s">
        <v>87</v>
      </c>
      <c r="B59" t="s">
        <v>191</v>
      </c>
      <c r="C59" t="s">
        <v>216</v>
      </c>
      <c r="D59" t="s">
        <v>203</v>
      </c>
      <c r="E59" t="s">
        <v>88</v>
      </c>
      <c r="F59" s="8">
        <v>3.7</v>
      </c>
      <c r="G59" s="7">
        <v>6</v>
      </c>
      <c r="H59" s="7">
        <v>5</v>
      </c>
      <c r="I59" s="7">
        <v>3</v>
      </c>
      <c r="J59">
        <v>0.32253844504341389</v>
      </c>
      <c r="K59">
        <v>0.43026343570372999</v>
      </c>
      <c r="L59">
        <v>0.32253844504341389</v>
      </c>
      <c r="M59">
        <v>0.43026343570372999</v>
      </c>
      <c r="N59">
        <v>7</v>
      </c>
      <c r="O59">
        <v>10.166666666666666</v>
      </c>
    </row>
    <row r="60" spans="1:15" x14ac:dyDescent="0.2">
      <c r="A60" s="11" t="s">
        <v>126</v>
      </c>
      <c r="B60" t="s">
        <v>197</v>
      </c>
      <c r="C60" t="s">
        <v>216</v>
      </c>
      <c r="D60" t="s">
        <v>207</v>
      </c>
      <c r="E60" t="s">
        <v>127</v>
      </c>
      <c r="F60" s="11">
        <v>25</v>
      </c>
      <c r="G60" s="11">
        <v>31</v>
      </c>
      <c r="H60" s="11">
        <v>62</v>
      </c>
      <c r="I60" s="11">
        <v>55</v>
      </c>
      <c r="J60">
        <v>0.1018953034306385</v>
      </c>
      <c r="K60">
        <v>0.14198402317147027</v>
      </c>
      <c r="L60">
        <v>0.1018953034306385</v>
      </c>
      <c r="M60">
        <v>0.14198402317147027</v>
      </c>
      <c r="N60">
        <v>49.5</v>
      </c>
      <c r="O60">
        <v>80</v>
      </c>
    </row>
    <row r="61" spans="1:15" x14ac:dyDescent="0.2">
      <c r="A61" s="11" t="s">
        <v>126</v>
      </c>
      <c r="B61" t="s">
        <v>197</v>
      </c>
      <c r="C61" t="s">
        <v>216</v>
      </c>
      <c r="D61" t="s">
        <v>207</v>
      </c>
      <c r="E61" t="s">
        <v>127</v>
      </c>
      <c r="F61" s="11">
        <v>54</v>
      </c>
      <c r="G61" s="11">
        <v>61</v>
      </c>
      <c r="H61" s="11">
        <v>86</v>
      </c>
      <c r="I61" s="11">
        <v>92</v>
      </c>
      <c r="J61">
        <v>0.1018953034306385</v>
      </c>
      <c r="K61">
        <v>0.14198402317147027</v>
      </c>
      <c r="L61">
        <v>0.1018953034306385</v>
      </c>
      <c r="M61">
        <v>0.14198402317147027</v>
      </c>
      <c r="N61">
        <v>49.5</v>
      </c>
      <c r="O61">
        <v>80</v>
      </c>
    </row>
    <row r="62" spans="1:15" x14ac:dyDescent="0.2">
      <c r="A62" s="11" t="s">
        <v>126</v>
      </c>
      <c r="B62" t="s">
        <v>197</v>
      </c>
      <c r="C62" t="s">
        <v>216</v>
      </c>
      <c r="D62" t="s">
        <v>207</v>
      </c>
      <c r="E62" t="s">
        <v>127</v>
      </c>
      <c r="F62" s="11">
        <v>46</v>
      </c>
      <c r="G62" s="11">
        <v>53</v>
      </c>
      <c r="H62" s="11">
        <v>68</v>
      </c>
      <c r="I62" s="11">
        <v>72</v>
      </c>
      <c r="J62">
        <v>0.1018953034306385</v>
      </c>
      <c r="K62">
        <v>0.14198402317147027</v>
      </c>
      <c r="L62">
        <v>0.1018953034306385</v>
      </c>
      <c r="M62">
        <v>0.14198402317147027</v>
      </c>
      <c r="N62">
        <v>49.5</v>
      </c>
      <c r="O62">
        <v>80</v>
      </c>
    </row>
    <row r="63" spans="1:15" x14ac:dyDescent="0.2">
      <c r="A63" s="11" t="s">
        <v>126</v>
      </c>
      <c r="B63" t="s">
        <v>197</v>
      </c>
      <c r="C63" t="s">
        <v>216</v>
      </c>
      <c r="D63" t="s">
        <v>207</v>
      </c>
      <c r="E63" t="s">
        <v>127</v>
      </c>
      <c r="F63" s="11">
        <v>56</v>
      </c>
      <c r="G63" s="11">
        <v>53</v>
      </c>
      <c r="H63" s="11">
        <v>86</v>
      </c>
      <c r="I63" s="12">
        <v>101</v>
      </c>
      <c r="J63">
        <v>0.1018953034306385</v>
      </c>
      <c r="K63">
        <v>0.14198402317147027</v>
      </c>
      <c r="L63">
        <v>0.1018953034306385</v>
      </c>
      <c r="M63">
        <v>0.14198402317147027</v>
      </c>
      <c r="N63">
        <v>49.5</v>
      </c>
      <c r="O63">
        <v>80</v>
      </c>
    </row>
    <row r="64" spans="1:15" x14ac:dyDescent="0.2">
      <c r="A64" s="15" t="s">
        <v>159</v>
      </c>
      <c r="B64" t="s">
        <v>196</v>
      </c>
      <c r="C64" t="s">
        <v>216</v>
      </c>
      <c r="D64" t="s">
        <v>207</v>
      </c>
      <c r="E64" t="s">
        <v>127</v>
      </c>
      <c r="F64" s="15">
        <v>59</v>
      </c>
      <c r="G64" s="15">
        <v>65</v>
      </c>
      <c r="H64" s="15">
        <v>68</v>
      </c>
      <c r="I64" s="15">
        <v>96</v>
      </c>
      <c r="J64">
        <v>0.1018953034306385</v>
      </c>
      <c r="K64">
        <v>0.14198402317147027</v>
      </c>
      <c r="L64">
        <v>0.1018953034306385</v>
      </c>
      <c r="M64">
        <v>0.14198402317147027</v>
      </c>
      <c r="N64">
        <v>61</v>
      </c>
      <c r="O64">
        <v>74.333333333333329</v>
      </c>
    </row>
    <row r="65" spans="1:15" x14ac:dyDescent="0.2">
      <c r="A65" s="15" t="s">
        <v>159</v>
      </c>
      <c r="B65" t="s">
        <v>196</v>
      </c>
      <c r="C65" t="s">
        <v>216</v>
      </c>
      <c r="D65" t="s">
        <v>207</v>
      </c>
      <c r="E65" t="s">
        <v>127</v>
      </c>
      <c r="F65" s="15">
        <v>58</v>
      </c>
      <c r="G65" s="15">
        <v>72</v>
      </c>
      <c r="H65" s="15">
        <v>61</v>
      </c>
      <c r="I65" s="15">
        <v>69</v>
      </c>
      <c r="J65">
        <v>0.1018953034306385</v>
      </c>
      <c r="K65">
        <v>0.14198402317147027</v>
      </c>
      <c r="L65">
        <v>0.1018953034306385</v>
      </c>
      <c r="M65">
        <v>0.14198402317147027</v>
      </c>
      <c r="N65">
        <v>61</v>
      </c>
      <c r="O65">
        <v>74.333333333333329</v>
      </c>
    </row>
    <row r="66" spans="1:15" x14ac:dyDescent="0.2">
      <c r="A66" s="15" t="s">
        <v>159</v>
      </c>
      <c r="B66" t="s">
        <v>196</v>
      </c>
      <c r="C66" t="s">
        <v>216</v>
      </c>
      <c r="D66" t="s">
        <v>207</v>
      </c>
      <c r="E66" t="s">
        <v>127</v>
      </c>
      <c r="F66" s="15">
        <v>51</v>
      </c>
      <c r="G66" s="15">
        <v>46</v>
      </c>
      <c r="H66" s="15">
        <v>46</v>
      </c>
      <c r="I66" s="15">
        <v>58</v>
      </c>
      <c r="J66">
        <v>0.1018953034306385</v>
      </c>
      <c r="K66">
        <v>0.14198402317147027</v>
      </c>
      <c r="L66">
        <v>0.1018953034306385</v>
      </c>
      <c r="M66">
        <v>0.14198402317147027</v>
      </c>
      <c r="N66">
        <v>61</v>
      </c>
      <c r="O66">
        <v>74.333333333333329</v>
      </c>
    </row>
  </sheetData>
  <autoFilter ref="A1:K1" xr:uid="{B7D1FB2A-DE28-C94A-A06A-5B96D2F60D5C}">
    <sortState xmlns:xlrd2="http://schemas.microsoft.com/office/spreadsheetml/2017/richdata2" ref="A2:K66">
      <sortCondition ref="D1:D6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B500-DBF7-CF41-BEF1-CDD95797AD60}">
  <dimension ref="A1:O66"/>
  <sheetViews>
    <sheetView topLeftCell="G1" workbookViewId="0">
      <selection activeCell="C1" activeCellId="1" sqref="E1:E1048576 C1:C1048576"/>
    </sheetView>
  </sheetViews>
  <sheetFormatPr baseColWidth="10" defaultRowHeight="16" x14ac:dyDescent="0.2"/>
  <cols>
    <col min="2" max="2" width="23.83203125" bestFit="1" customWidth="1"/>
    <col min="3" max="3" width="11.1640625" bestFit="1" customWidth="1"/>
    <col min="4" max="4" width="11.1640625" customWidth="1"/>
    <col min="8" max="8" width="42.1640625" bestFit="1" customWidth="1"/>
    <col min="9" max="9" width="39.33203125" bestFit="1" customWidth="1"/>
    <col min="10" max="10" width="12.33203125" bestFit="1" customWidth="1"/>
    <col min="11" max="11" width="12" bestFit="1" customWidth="1"/>
    <col min="12" max="12" width="13" bestFit="1" customWidth="1"/>
    <col min="13" max="14" width="12.83203125" bestFit="1" customWidth="1"/>
  </cols>
  <sheetData>
    <row r="1" spans="1:15" ht="21" thickBot="1" x14ac:dyDescent="0.3">
      <c r="A1" s="1" t="s">
        <v>0</v>
      </c>
      <c r="B1" s="1" t="s">
        <v>1</v>
      </c>
      <c r="C1" s="1" t="s">
        <v>184</v>
      </c>
      <c r="D1" s="1" t="s">
        <v>200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9" t="s">
        <v>202</v>
      </c>
      <c r="O1" s="19" t="s">
        <v>201</v>
      </c>
    </row>
    <row r="2" spans="1:15" ht="17" thickTop="1" x14ac:dyDescent="0.2">
      <c r="A2" s="2" t="s">
        <v>11</v>
      </c>
      <c r="B2" s="2" t="s">
        <v>12</v>
      </c>
      <c r="C2" t="s">
        <v>185</v>
      </c>
      <c r="D2" t="str">
        <f>LEFT(C2,2)</f>
        <v>TX</v>
      </c>
      <c r="E2" s="2" t="s">
        <v>13</v>
      </c>
      <c r="F2" s="2" t="s">
        <v>14</v>
      </c>
      <c r="G2" s="2">
        <v>1</v>
      </c>
      <c r="H2" s="2" t="s">
        <v>15</v>
      </c>
      <c r="I2" s="2" t="s">
        <v>16</v>
      </c>
      <c r="J2" s="3">
        <v>21</v>
      </c>
      <c r="K2" s="2">
        <v>26</v>
      </c>
      <c r="L2" s="2">
        <v>26</v>
      </c>
      <c r="M2" s="2">
        <v>27</v>
      </c>
      <c r="N2">
        <f>K2/J2-1</f>
        <v>0.23809523809523814</v>
      </c>
      <c r="O2">
        <f>L2/K2-1</f>
        <v>0</v>
      </c>
    </row>
    <row r="3" spans="1:15" x14ac:dyDescent="0.2">
      <c r="A3" s="2" t="s">
        <v>11</v>
      </c>
      <c r="B3" s="2" t="s">
        <v>12</v>
      </c>
      <c r="C3" t="s">
        <v>185</v>
      </c>
      <c r="D3" t="str">
        <f t="shared" ref="D3:D66" si="0">LEFT(C3,2)</f>
        <v>TX</v>
      </c>
      <c r="E3" s="2" t="s">
        <v>13</v>
      </c>
      <c r="F3" s="2" t="s">
        <v>14</v>
      </c>
      <c r="G3" s="2">
        <v>2</v>
      </c>
      <c r="H3" s="2" t="s">
        <v>17</v>
      </c>
      <c r="I3" s="2" t="s">
        <v>18</v>
      </c>
      <c r="J3" s="3">
        <v>26</v>
      </c>
      <c r="K3" s="2">
        <v>36</v>
      </c>
      <c r="L3" s="2">
        <v>35</v>
      </c>
      <c r="M3" s="4">
        <v>72</v>
      </c>
      <c r="N3">
        <f t="shared" ref="N3:O66" si="1">K3/J3-1</f>
        <v>0.38461538461538458</v>
      </c>
      <c r="O3">
        <f t="shared" si="1"/>
        <v>-2.777777777777779E-2</v>
      </c>
    </row>
    <row r="4" spans="1:15" x14ac:dyDescent="0.2">
      <c r="A4" s="2" t="s">
        <v>11</v>
      </c>
      <c r="B4" s="2" t="s">
        <v>12</v>
      </c>
      <c r="C4" t="s">
        <v>185</v>
      </c>
      <c r="D4" t="str">
        <f t="shared" si="0"/>
        <v>TX</v>
      </c>
      <c r="E4" s="2" t="s">
        <v>13</v>
      </c>
      <c r="F4" s="2" t="s">
        <v>14</v>
      </c>
      <c r="G4" s="2">
        <v>3</v>
      </c>
      <c r="H4" s="2" t="s">
        <v>19</v>
      </c>
      <c r="I4" s="2" t="s">
        <v>20</v>
      </c>
      <c r="J4" s="3">
        <v>34</v>
      </c>
      <c r="K4" s="2">
        <v>41</v>
      </c>
      <c r="L4" s="2">
        <v>40</v>
      </c>
      <c r="M4" s="4">
        <v>108</v>
      </c>
      <c r="N4">
        <f t="shared" si="1"/>
        <v>0.20588235294117641</v>
      </c>
      <c r="O4">
        <f t="shared" si="1"/>
        <v>-2.4390243902439046E-2</v>
      </c>
    </row>
    <row r="5" spans="1:15" x14ac:dyDescent="0.2">
      <c r="A5" s="2" t="s">
        <v>11</v>
      </c>
      <c r="B5" s="2" t="s">
        <v>21</v>
      </c>
      <c r="C5" t="s">
        <v>186</v>
      </c>
      <c r="D5" t="str">
        <f t="shared" si="0"/>
        <v>TX</v>
      </c>
      <c r="E5" s="2" t="s">
        <v>13</v>
      </c>
      <c r="F5" s="2" t="s">
        <v>22</v>
      </c>
      <c r="G5" s="2">
        <v>4</v>
      </c>
      <c r="H5" s="2" t="s">
        <v>23</v>
      </c>
      <c r="I5" s="2" t="s">
        <v>24</v>
      </c>
      <c r="J5" s="3">
        <v>8.25</v>
      </c>
      <c r="K5" s="2">
        <v>11</v>
      </c>
      <c r="L5" s="2">
        <v>14</v>
      </c>
      <c r="M5" s="2">
        <v>16</v>
      </c>
      <c r="N5">
        <f t="shared" si="1"/>
        <v>0.33333333333333326</v>
      </c>
      <c r="O5">
        <f t="shared" si="1"/>
        <v>0.27272727272727271</v>
      </c>
    </row>
    <row r="6" spans="1:15" x14ac:dyDescent="0.2">
      <c r="A6" s="2" t="s">
        <v>11</v>
      </c>
      <c r="B6" s="2" t="s">
        <v>21</v>
      </c>
      <c r="C6" t="s">
        <v>186</v>
      </c>
      <c r="D6" t="str">
        <f t="shared" si="0"/>
        <v>TX</v>
      </c>
      <c r="E6" s="2" t="s">
        <v>13</v>
      </c>
      <c r="F6" s="2" t="s">
        <v>22</v>
      </c>
      <c r="G6" s="2">
        <v>5</v>
      </c>
      <c r="H6" s="2" t="s">
        <v>25</v>
      </c>
      <c r="I6" s="2" t="s">
        <v>26</v>
      </c>
      <c r="J6" s="3">
        <v>11.77</v>
      </c>
      <c r="K6" s="2">
        <v>18</v>
      </c>
      <c r="L6" s="2">
        <v>21</v>
      </c>
      <c r="M6" s="2">
        <v>33</v>
      </c>
      <c r="N6">
        <f t="shared" si="1"/>
        <v>0.52931180968564151</v>
      </c>
      <c r="O6">
        <f t="shared" si="1"/>
        <v>0.16666666666666674</v>
      </c>
    </row>
    <row r="7" spans="1:15" x14ac:dyDescent="0.2">
      <c r="A7" s="2" t="s">
        <v>11</v>
      </c>
      <c r="B7" s="2" t="s">
        <v>21</v>
      </c>
      <c r="C7" t="s">
        <v>186</v>
      </c>
      <c r="D7" t="str">
        <f t="shared" si="0"/>
        <v>TX</v>
      </c>
      <c r="E7" s="2" t="s">
        <v>13</v>
      </c>
      <c r="F7" s="2" t="s">
        <v>22</v>
      </c>
      <c r="G7" s="2">
        <v>6</v>
      </c>
      <c r="H7" s="2" t="s">
        <v>27</v>
      </c>
      <c r="I7" s="2" t="s">
        <v>28</v>
      </c>
      <c r="J7" s="3">
        <v>16.100000000000001</v>
      </c>
      <c r="K7" s="2">
        <v>25</v>
      </c>
      <c r="L7" s="2">
        <v>33</v>
      </c>
      <c r="M7" s="2">
        <v>42</v>
      </c>
      <c r="N7">
        <f t="shared" si="1"/>
        <v>0.55279503105590044</v>
      </c>
      <c r="O7">
        <f t="shared" si="1"/>
        <v>0.32000000000000006</v>
      </c>
    </row>
    <row r="8" spans="1:15" x14ac:dyDescent="0.2">
      <c r="A8" s="2" t="s">
        <v>11</v>
      </c>
      <c r="B8" s="2" t="s">
        <v>21</v>
      </c>
      <c r="C8" t="s">
        <v>186</v>
      </c>
      <c r="D8" t="str">
        <f t="shared" si="0"/>
        <v>TX</v>
      </c>
      <c r="E8" s="2" t="s">
        <v>13</v>
      </c>
      <c r="F8" s="2" t="s">
        <v>22</v>
      </c>
      <c r="G8" s="2">
        <v>7</v>
      </c>
      <c r="H8" s="2" t="s">
        <v>29</v>
      </c>
      <c r="I8" s="2" t="s">
        <v>30</v>
      </c>
      <c r="J8" s="3">
        <v>23.18</v>
      </c>
      <c r="K8" s="2">
        <v>34</v>
      </c>
      <c r="L8" s="2">
        <v>42</v>
      </c>
      <c r="M8" s="2">
        <v>52</v>
      </c>
      <c r="N8">
        <f t="shared" si="1"/>
        <v>0.46678170836928379</v>
      </c>
      <c r="O8">
        <f t="shared" si="1"/>
        <v>0.23529411764705888</v>
      </c>
    </row>
    <row r="9" spans="1:15" x14ac:dyDescent="0.2">
      <c r="A9" s="2" t="s">
        <v>11</v>
      </c>
      <c r="B9" s="2" t="s">
        <v>31</v>
      </c>
      <c r="C9" t="s">
        <v>186</v>
      </c>
      <c r="D9" t="str">
        <f t="shared" si="0"/>
        <v>TX</v>
      </c>
      <c r="E9" s="2" t="s">
        <v>13</v>
      </c>
      <c r="F9" s="2" t="s">
        <v>32</v>
      </c>
      <c r="G9" s="2">
        <v>8</v>
      </c>
      <c r="H9" s="2" t="s">
        <v>33</v>
      </c>
      <c r="I9" s="2" t="s">
        <v>34</v>
      </c>
      <c r="J9" s="3">
        <v>33</v>
      </c>
      <c r="K9" s="2">
        <v>39</v>
      </c>
      <c r="L9" s="2">
        <v>33</v>
      </c>
      <c r="M9" s="4">
        <v>87</v>
      </c>
      <c r="N9">
        <f t="shared" si="1"/>
        <v>0.18181818181818188</v>
      </c>
      <c r="O9">
        <f t="shared" si="1"/>
        <v>-0.15384615384615385</v>
      </c>
    </row>
    <row r="10" spans="1:15" x14ac:dyDescent="0.2">
      <c r="A10" s="2" t="s">
        <v>11</v>
      </c>
      <c r="B10" s="2" t="s">
        <v>31</v>
      </c>
      <c r="C10" t="s">
        <v>186</v>
      </c>
      <c r="D10" t="str">
        <f t="shared" si="0"/>
        <v>TX</v>
      </c>
      <c r="E10" s="2" t="s">
        <v>13</v>
      </c>
      <c r="F10" s="2" t="s">
        <v>32</v>
      </c>
      <c r="G10" s="2">
        <v>9</v>
      </c>
      <c r="H10" s="2" t="s">
        <v>35</v>
      </c>
      <c r="I10" s="2" t="s">
        <v>36</v>
      </c>
      <c r="J10" s="3">
        <v>21</v>
      </c>
      <c r="K10" s="2">
        <v>23</v>
      </c>
      <c r="L10" s="2">
        <v>39</v>
      </c>
      <c r="M10" s="2">
        <v>45</v>
      </c>
      <c r="N10">
        <f t="shared" si="1"/>
        <v>9.5238095238095344E-2</v>
      </c>
      <c r="O10">
        <f t="shared" si="1"/>
        <v>0.69565217391304346</v>
      </c>
    </row>
    <row r="11" spans="1:15" x14ac:dyDescent="0.2">
      <c r="A11" s="2" t="s">
        <v>11</v>
      </c>
      <c r="B11" s="2" t="s">
        <v>31</v>
      </c>
      <c r="C11" t="s">
        <v>186</v>
      </c>
      <c r="D11" t="str">
        <f t="shared" si="0"/>
        <v>TX</v>
      </c>
      <c r="E11" s="2" t="s">
        <v>13</v>
      </c>
      <c r="F11" s="2" t="s">
        <v>32</v>
      </c>
      <c r="G11" s="2">
        <v>10</v>
      </c>
      <c r="H11" s="2" t="s">
        <v>37</v>
      </c>
      <c r="I11" s="2" t="s">
        <v>38</v>
      </c>
      <c r="J11" s="3">
        <v>14</v>
      </c>
      <c r="K11" s="2">
        <v>11</v>
      </c>
      <c r="L11" s="2">
        <v>38</v>
      </c>
      <c r="M11" s="2">
        <v>30</v>
      </c>
      <c r="N11">
        <f t="shared" si="1"/>
        <v>-0.2142857142857143</v>
      </c>
      <c r="O11">
        <f t="shared" si="1"/>
        <v>2.4545454545454546</v>
      </c>
    </row>
    <row r="12" spans="1:15" x14ac:dyDescent="0.2">
      <c r="A12" s="2" t="s">
        <v>11</v>
      </c>
      <c r="B12" s="2" t="s">
        <v>39</v>
      </c>
      <c r="C12" t="s">
        <v>187</v>
      </c>
      <c r="D12" t="str">
        <f t="shared" si="0"/>
        <v>TX</v>
      </c>
      <c r="E12" s="2" t="s">
        <v>13</v>
      </c>
      <c r="F12" s="2" t="s">
        <v>40</v>
      </c>
      <c r="G12" s="2">
        <v>11</v>
      </c>
      <c r="H12" s="2" t="s">
        <v>41</v>
      </c>
      <c r="I12" s="2" t="s">
        <v>42</v>
      </c>
      <c r="J12" s="3">
        <v>28</v>
      </c>
      <c r="K12" s="2">
        <v>43</v>
      </c>
      <c r="L12" s="2">
        <v>95</v>
      </c>
      <c r="M12" s="2">
        <v>94</v>
      </c>
      <c r="N12">
        <f t="shared" si="1"/>
        <v>0.53571428571428581</v>
      </c>
      <c r="O12">
        <f t="shared" si="1"/>
        <v>1.2093023255813953</v>
      </c>
    </row>
    <row r="13" spans="1:15" x14ac:dyDescent="0.2">
      <c r="A13" s="2" t="s">
        <v>11</v>
      </c>
      <c r="B13" s="2" t="s">
        <v>39</v>
      </c>
      <c r="C13" t="s">
        <v>187</v>
      </c>
      <c r="D13" t="str">
        <f t="shared" si="0"/>
        <v>TX</v>
      </c>
      <c r="E13" s="2" t="s">
        <v>13</v>
      </c>
      <c r="F13" s="2" t="s">
        <v>40</v>
      </c>
      <c r="G13" s="2">
        <v>12</v>
      </c>
      <c r="H13" s="2" t="s">
        <v>43</v>
      </c>
      <c r="I13" s="2" t="s">
        <v>44</v>
      </c>
      <c r="J13" s="3">
        <v>25</v>
      </c>
      <c r="K13" s="2">
        <v>39</v>
      </c>
      <c r="L13" s="2">
        <v>54</v>
      </c>
      <c r="M13" s="2">
        <v>69</v>
      </c>
      <c r="N13">
        <f t="shared" si="1"/>
        <v>0.56000000000000005</v>
      </c>
      <c r="O13">
        <f t="shared" si="1"/>
        <v>0.38461538461538458</v>
      </c>
    </row>
    <row r="14" spans="1:15" x14ac:dyDescent="0.2">
      <c r="A14" s="2" t="s">
        <v>11</v>
      </c>
      <c r="B14" s="2" t="s">
        <v>39</v>
      </c>
      <c r="C14" t="s">
        <v>187</v>
      </c>
      <c r="D14" t="str">
        <f t="shared" si="0"/>
        <v>TX</v>
      </c>
      <c r="E14" s="2" t="s">
        <v>13</v>
      </c>
      <c r="F14" s="2" t="s">
        <v>40</v>
      </c>
      <c r="G14" s="2">
        <v>13</v>
      </c>
      <c r="H14" s="2" t="s">
        <v>45</v>
      </c>
      <c r="I14" s="2" t="s">
        <v>46</v>
      </c>
      <c r="J14" s="3">
        <v>24</v>
      </c>
      <c r="K14" s="2">
        <v>33</v>
      </c>
      <c r="L14" s="2">
        <v>26</v>
      </c>
      <c r="M14" s="4">
        <v>75</v>
      </c>
      <c r="N14">
        <f t="shared" si="1"/>
        <v>0.375</v>
      </c>
      <c r="O14">
        <f t="shared" si="1"/>
        <v>-0.21212121212121215</v>
      </c>
    </row>
    <row r="15" spans="1:15" x14ac:dyDescent="0.2">
      <c r="A15" s="2" t="s">
        <v>11</v>
      </c>
      <c r="B15" s="2" t="s">
        <v>39</v>
      </c>
      <c r="C15" t="s">
        <v>187</v>
      </c>
      <c r="D15" t="str">
        <f t="shared" si="0"/>
        <v>TX</v>
      </c>
      <c r="E15" s="2" t="s">
        <v>13</v>
      </c>
      <c r="F15" s="2" t="s">
        <v>40</v>
      </c>
      <c r="G15" s="2">
        <v>14</v>
      </c>
      <c r="H15" s="2" t="s">
        <v>47</v>
      </c>
      <c r="I15" s="2" t="s">
        <v>48</v>
      </c>
      <c r="J15" s="3">
        <v>22</v>
      </c>
      <c r="K15" s="2">
        <v>33</v>
      </c>
      <c r="L15" s="2">
        <v>22</v>
      </c>
      <c r="M15" s="2">
        <v>31</v>
      </c>
      <c r="N15">
        <f t="shared" si="1"/>
        <v>0.5</v>
      </c>
      <c r="O15">
        <f t="shared" si="1"/>
        <v>-0.33333333333333337</v>
      </c>
    </row>
    <row r="16" spans="1:15" x14ac:dyDescent="0.2">
      <c r="A16" s="2" t="s">
        <v>11</v>
      </c>
      <c r="B16" s="2" t="s">
        <v>39</v>
      </c>
      <c r="C16" t="s">
        <v>187</v>
      </c>
      <c r="D16" t="str">
        <f t="shared" si="0"/>
        <v>TX</v>
      </c>
      <c r="E16" s="2" t="s">
        <v>13</v>
      </c>
      <c r="F16" s="2" t="s">
        <v>40</v>
      </c>
      <c r="G16" s="2">
        <v>15</v>
      </c>
      <c r="H16" s="2" t="s">
        <v>49</v>
      </c>
      <c r="I16" s="2" t="s">
        <v>50</v>
      </c>
      <c r="J16" s="3">
        <v>17</v>
      </c>
      <c r="K16" s="2">
        <v>26</v>
      </c>
      <c r="L16" s="2">
        <v>43</v>
      </c>
      <c r="M16" s="4">
        <v>81</v>
      </c>
      <c r="N16">
        <f t="shared" si="1"/>
        <v>0.52941176470588225</v>
      </c>
      <c r="O16">
        <f t="shared" si="1"/>
        <v>0.65384615384615374</v>
      </c>
    </row>
    <row r="17" spans="1:15" x14ac:dyDescent="0.2">
      <c r="A17" s="5" t="s">
        <v>51</v>
      </c>
      <c r="B17" s="5" t="s">
        <v>52</v>
      </c>
      <c r="C17" t="s">
        <v>190</v>
      </c>
      <c r="D17" t="str">
        <f t="shared" si="0"/>
        <v>CO</v>
      </c>
      <c r="E17" s="5" t="s">
        <v>53</v>
      </c>
      <c r="F17" s="5" t="s">
        <v>54</v>
      </c>
      <c r="G17" s="5">
        <v>1</v>
      </c>
      <c r="H17" s="5" t="s">
        <v>55</v>
      </c>
      <c r="I17" s="5" t="s">
        <v>56</v>
      </c>
      <c r="J17" s="6">
        <v>19</v>
      </c>
      <c r="K17" s="5">
        <v>26</v>
      </c>
      <c r="L17" s="5">
        <v>28</v>
      </c>
      <c r="M17" s="5">
        <v>52</v>
      </c>
      <c r="N17">
        <f t="shared" si="1"/>
        <v>0.36842105263157898</v>
      </c>
      <c r="O17">
        <f t="shared" si="1"/>
        <v>7.6923076923076872E-2</v>
      </c>
    </row>
    <row r="18" spans="1:15" x14ac:dyDescent="0.2">
      <c r="A18" s="5" t="s">
        <v>51</v>
      </c>
      <c r="B18" s="5" t="s">
        <v>52</v>
      </c>
      <c r="C18" t="s">
        <v>190</v>
      </c>
      <c r="D18" t="str">
        <f t="shared" si="0"/>
        <v>CO</v>
      </c>
      <c r="E18" s="5" t="s">
        <v>53</v>
      </c>
      <c r="F18" s="5" t="s">
        <v>54</v>
      </c>
      <c r="G18" s="5">
        <v>2</v>
      </c>
      <c r="H18" s="5" t="s">
        <v>57</v>
      </c>
      <c r="I18" s="5" t="s">
        <v>58</v>
      </c>
      <c r="J18" s="6">
        <v>21</v>
      </c>
      <c r="K18" s="5">
        <v>27</v>
      </c>
      <c r="L18" s="5">
        <v>30</v>
      </c>
      <c r="M18" s="5">
        <v>37</v>
      </c>
      <c r="N18">
        <f t="shared" si="1"/>
        <v>0.28571428571428581</v>
      </c>
      <c r="O18">
        <f t="shared" si="1"/>
        <v>0.11111111111111116</v>
      </c>
    </row>
    <row r="19" spans="1:15" x14ac:dyDescent="0.2">
      <c r="A19" s="5" t="s">
        <v>51</v>
      </c>
      <c r="B19" s="5" t="s">
        <v>52</v>
      </c>
      <c r="C19" t="s">
        <v>190</v>
      </c>
      <c r="D19" t="str">
        <f t="shared" si="0"/>
        <v>CO</v>
      </c>
      <c r="E19" s="5" t="s">
        <v>53</v>
      </c>
      <c r="F19" s="5" t="s">
        <v>54</v>
      </c>
      <c r="G19" s="5">
        <v>3</v>
      </c>
      <c r="H19" s="5" t="s">
        <v>59</v>
      </c>
      <c r="I19" s="5" t="s">
        <v>60</v>
      </c>
      <c r="J19" s="6">
        <v>23</v>
      </c>
      <c r="K19" s="5">
        <v>30</v>
      </c>
      <c r="L19" s="5">
        <v>34</v>
      </c>
      <c r="M19" s="5">
        <v>65</v>
      </c>
      <c r="N19">
        <f t="shared" si="1"/>
        <v>0.30434782608695654</v>
      </c>
      <c r="O19">
        <f t="shared" si="1"/>
        <v>0.1333333333333333</v>
      </c>
    </row>
    <row r="20" spans="1:15" x14ac:dyDescent="0.2">
      <c r="A20" s="5" t="s">
        <v>51</v>
      </c>
      <c r="B20" s="5" t="s">
        <v>52</v>
      </c>
      <c r="C20" t="s">
        <v>190</v>
      </c>
      <c r="D20" t="str">
        <f t="shared" si="0"/>
        <v>CO</v>
      </c>
      <c r="E20" s="5" t="s">
        <v>53</v>
      </c>
      <c r="F20" s="5" t="s">
        <v>54</v>
      </c>
      <c r="G20" s="5">
        <v>4</v>
      </c>
      <c r="H20" s="5" t="s">
        <v>61</v>
      </c>
      <c r="I20" s="5" t="s">
        <v>62</v>
      </c>
      <c r="J20" s="6">
        <v>28</v>
      </c>
      <c r="K20" s="5">
        <v>35</v>
      </c>
      <c r="L20" s="5">
        <v>41</v>
      </c>
      <c r="M20" s="5">
        <v>47</v>
      </c>
      <c r="N20">
        <f t="shared" si="1"/>
        <v>0.25</v>
      </c>
      <c r="O20">
        <f t="shared" si="1"/>
        <v>0.17142857142857149</v>
      </c>
    </row>
    <row r="21" spans="1:15" x14ac:dyDescent="0.2">
      <c r="A21" s="5" t="s">
        <v>51</v>
      </c>
      <c r="B21" s="5" t="s">
        <v>52</v>
      </c>
      <c r="C21" t="s">
        <v>190</v>
      </c>
      <c r="D21" t="str">
        <f t="shared" si="0"/>
        <v>CO</v>
      </c>
      <c r="E21" s="5" t="s">
        <v>53</v>
      </c>
      <c r="F21" s="5" t="s">
        <v>54</v>
      </c>
      <c r="G21" s="5">
        <v>5</v>
      </c>
      <c r="H21" s="5" t="s">
        <v>63</v>
      </c>
      <c r="I21" s="5" t="s">
        <v>64</v>
      </c>
      <c r="J21" s="6">
        <v>31</v>
      </c>
      <c r="K21" s="5">
        <v>38</v>
      </c>
      <c r="L21" s="5">
        <v>53</v>
      </c>
      <c r="M21" s="5">
        <v>60</v>
      </c>
      <c r="N21">
        <f t="shared" si="1"/>
        <v>0.22580645161290325</v>
      </c>
      <c r="O21">
        <f t="shared" si="1"/>
        <v>0.39473684210526305</v>
      </c>
    </row>
    <row r="22" spans="1:15" x14ac:dyDescent="0.2">
      <c r="A22" s="5" t="s">
        <v>51</v>
      </c>
      <c r="B22" s="5" t="s">
        <v>52</v>
      </c>
      <c r="C22" t="s">
        <v>190</v>
      </c>
      <c r="D22" t="str">
        <f t="shared" si="0"/>
        <v>CO</v>
      </c>
      <c r="E22" s="5" t="s">
        <v>53</v>
      </c>
      <c r="F22" s="5" t="s">
        <v>54</v>
      </c>
      <c r="G22" s="5">
        <v>6</v>
      </c>
      <c r="H22" s="5" t="s">
        <v>65</v>
      </c>
      <c r="I22" s="5" t="s">
        <v>66</v>
      </c>
      <c r="J22" s="6">
        <v>26</v>
      </c>
      <c r="K22" s="5">
        <v>37</v>
      </c>
      <c r="L22" s="5">
        <v>40</v>
      </c>
      <c r="M22" s="5">
        <v>72</v>
      </c>
      <c r="N22">
        <f t="shared" si="1"/>
        <v>0.42307692307692313</v>
      </c>
      <c r="O22">
        <f t="shared" si="1"/>
        <v>8.1081081081081141E-2</v>
      </c>
    </row>
    <row r="23" spans="1:15" x14ac:dyDescent="0.2">
      <c r="A23" s="5" t="s">
        <v>51</v>
      </c>
      <c r="B23" s="5" t="s">
        <v>52</v>
      </c>
      <c r="C23" t="s">
        <v>190</v>
      </c>
      <c r="D23" t="str">
        <f t="shared" si="0"/>
        <v>CO</v>
      </c>
      <c r="E23" s="5" t="s">
        <v>53</v>
      </c>
      <c r="F23" s="5" t="s">
        <v>54</v>
      </c>
      <c r="G23" s="5">
        <v>7</v>
      </c>
      <c r="H23" s="5" t="s">
        <v>67</v>
      </c>
      <c r="I23" s="5" t="s">
        <v>68</v>
      </c>
      <c r="J23" s="6">
        <v>29</v>
      </c>
      <c r="K23" s="5">
        <v>38</v>
      </c>
      <c r="L23" s="5">
        <v>46</v>
      </c>
      <c r="M23" s="5">
        <v>45</v>
      </c>
      <c r="N23">
        <f t="shared" si="1"/>
        <v>0.31034482758620685</v>
      </c>
      <c r="O23">
        <f t="shared" si="1"/>
        <v>0.21052631578947367</v>
      </c>
    </row>
    <row r="24" spans="1:15" x14ac:dyDescent="0.2">
      <c r="A24" s="5" t="s">
        <v>51</v>
      </c>
      <c r="B24" s="5" t="s">
        <v>52</v>
      </c>
      <c r="C24" t="s">
        <v>190</v>
      </c>
      <c r="D24" t="str">
        <f t="shared" si="0"/>
        <v>CO</v>
      </c>
      <c r="E24" s="5" t="s">
        <v>53</v>
      </c>
      <c r="F24" s="5" t="s">
        <v>54</v>
      </c>
      <c r="G24" s="5">
        <v>8</v>
      </c>
      <c r="H24" s="5" t="s">
        <v>69</v>
      </c>
      <c r="I24" s="5" t="s">
        <v>70</v>
      </c>
      <c r="J24" s="6">
        <v>31</v>
      </c>
      <c r="K24" s="5">
        <v>17</v>
      </c>
      <c r="L24" s="5">
        <v>49</v>
      </c>
      <c r="M24" s="5">
        <v>50</v>
      </c>
      <c r="N24">
        <f t="shared" si="1"/>
        <v>-0.45161290322580649</v>
      </c>
      <c r="O24">
        <f t="shared" si="1"/>
        <v>1.8823529411764706</v>
      </c>
    </row>
    <row r="25" spans="1:15" x14ac:dyDescent="0.2">
      <c r="A25" s="5" t="s">
        <v>51</v>
      </c>
      <c r="B25" s="5" t="s">
        <v>52</v>
      </c>
      <c r="C25" t="s">
        <v>190</v>
      </c>
      <c r="D25" t="str">
        <f t="shared" si="0"/>
        <v>CO</v>
      </c>
      <c r="E25" s="5" t="s">
        <v>53</v>
      </c>
      <c r="F25" s="5" t="s">
        <v>54</v>
      </c>
      <c r="G25" s="5">
        <v>9</v>
      </c>
      <c r="H25" s="5" t="s">
        <v>71</v>
      </c>
      <c r="I25" s="5" t="s">
        <v>72</v>
      </c>
      <c r="J25" s="6">
        <v>33</v>
      </c>
      <c r="K25" s="5">
        <v>44</v>
      </c>
      <c r="L25" s="5">
        <v>56</v>
      </c>
      <c r="M25" s="5">
        <v>51</v>
      </c>
      <c r="N25">
        <f t="shared" si="1"/>
        <v>0.33333333333333326</v>
      </c>
      <c r="O25">
        <f t="shared" si="1"/>
        <v>0.27272727272727271</v>
      </c>
    </row>
    <row r="26" spans="1:15" x14ac:dyDescent="0.2">
      <c r="A26" s="5" t="s">
        <v>51</v>
      </c>
      <c r="B26" s="5" t="s">
        <v>52</v>
      </c>
      <c r="C26" t="s">
        <v>190</v>
      </c>
      <c r="D26" t="str">
        <f t="shared" si="0"/>
        <v>CO</v>
      </c>
      <c r="E26" s="5" t="s">
        <v>53</v>
      </c>
      <c r="F26" s="5" t="s">
        <v>54</v>
      </c>
      <c r="G26" s="5">
        <v>10</v>
      </c>
      <c r="H26" s="5" t="s">
        <v>73</v>
      </c>
      <c r="I26" s="5" t="s">
        <v>74</v>
      </c>
      <c r="J26" s="6">
        <v>36</v>
      </c>
      <c r="K26" s="5">
        <v>46</v>
      </c>
      <c r="L26" s="5">
        <v>60</v>
      </c>
      <c r="M26" s="5">
        <v>53</v>
      </c>
      <c r="N26">
        <f t="shared" si="1"/>
        <v>0.27777777777777768</v>
      </c>
      <c r="O26">
        <f t="shared" si="1"/>
        <v>0.30434782608695654</v>
      </c>
    </row>
    <row r="27" spans="1:15" x14ac:dyDescent="0.2">
      <c r="A27" s="5" t="s">
        <v>51</v>
      </c>
      <c r="B27" s="5" t="s">
        <v>52</v>
      </c>
      <c r="C27" t="s">
        <v>190</v>
      </c>
      <c r="D27" t="str">
        <f t="shared" si="0"/>
        <v>CO</v>
      </c>
      <c r="E27" s="5" t="s">
        <v>53</v>
      </c>
      <c r="F27" s="5" t="s">
        <v>54</v>
      </c>
      <c r="G27" s="5">
        <v>11</v>
      </c>
      <c r="H27" s="5" t="s">
        <v>75</v>
      </c>
      <c r="I27" s="5" t="s">
        <v>76</v>
      </c>
      <c r="J27" s="6">
        <v>39</v>
      </c>
      <c r="K27" s="5">
        <v>17</v>
      </c>
      <c r="L27" s="5">
        <v>71</v>
      </c>
      <c r="M27" s="5">
        <v>56</v>
      </c>
      <c r="N27">
        <f t="shared" si="1"/>
        <v>-0.5641025641025641</v>
      </c>
      <c r="O27">
        <f t="shared" si="1"/>
        <v>3.1764705882352944</v>
      </c>
    </row>
    <row r="28" spans="1:15" x14ac:dyDescent="0.2">
      <c r="A28" s="5" t="s">
        <v>51</v>
      </c>
      <c r="B28" s="5" t="s">
        <v>77</v>
      </c>
      <c r="C28" t="s">
        <v>189</v>
      </c>
      <c r="D28" t="str">
        <f t="shared" si="0"/>
        <v>CO</v>
      </c>
      <c r="E28" s="5" t="s">
        <v>53</v>
      </c>
      <c r="F28" s="5" t="s">
        <v>78</v>
      </c>
      <c r="G28" s="5">
        <v>13</v>
      </c>
      <c r="H28" s="5" t="s">
        <v>79</v>
      </c>
      <c r="I28" s="5" t="s">
        <v>80</v>
      </c>
      <c r="J28" s="6">
        <v>25</v>
      </c>
      <c r="K28" s="5">
        <v>34</v>
      </c>
      <c r="L28" s="5">
        <v>44</v>
      </c>
      <c r="M28" s="5">
        <v>48</v>
      </c>
      <c r="N28">
        <f t="shared" si="1"/>
        <v>0.3600000000000001</v>
      </c>
      <c r="O28">
        <f t="shared" si="1"/>
        <v>0.29411764705882359</v>
      </c>
    </row>
    <row r="29" spans="1:15" x14ac:dyDescent="0.2">
      <c r="A29" s="5" t="s">
        <v>51</v>
      </c>
      <c r="B29" s="5" t="s">
        <v>81</v>
      </c>
      <c r="C29" t="s">
        <v>188</v>
      </c>
      <c r="D29" t="str">
        <f t="shared" si="0"/>
        <v>CO</v>
      </c>
      <c r="E29" s="5" t="s">
        <v>53</v>
      </c>
      <c r="F29" s="5" t="s">
        <v>82</v>
      </c>
      <c r="G29" s="5">
        <v>18</v>
      </c>
      <c r="H29" s="5" t="s">
        <v>83</v>
      </c>
      <c r="I29" s="5" t="s">
        <v>84</v>
      </c>
      <c r="J29" s="6">
        <v>28</v>
      </c>
      <c r="K29" s="5">
        <v>40</v>
      </c>
      <c r="L29" s="5">
        <v>33</v>
      </c>
      <c r="M29" s="5">
        <v>64</v>
      </c>
      <c r="N29">
        <f t="shared" si="1"/>
        <v>0.4285714285714286</v>
      </c>
      <c r="O29">
        <f t="shared" si="1"/>
        <v>-0.17500000000000004</v>
      </c>
    </row>
    <row r="30" spans="1:15" x14ac:dyDescent="0.2">
      <c r="A30" s="5" t="s">
        <v>51</v>
      </c>
      <c r="B30" s="5" t="s">
        <v>81</v>
      </c>
      <c r="C30" t="s">
        <v>188</v>
      </c>
      <c r="D30" t="str">
        <f t="shared" si="0"/>
        <v>CO</v>
      </c>
      <c r="E30" s="5" t="s">
        <v>53</v>
      </c>
      <c r="F30" s="5" t="s">
        <v>82</v>
      </c>
      <c r="G30" s="5">
        <v>20</v>
      </c>
      <c r="H30" s="5" t="s">
        <v>85</v>
      </c>
      <c r="I30" s="5" t="s">
        <v>86</v>
      </c>
      <c r="J30" s="6">
        <v>36</v>
      </c>
      <c r="K30" s="5">
        <v>54</v>
      </c>
      <c r="L30" s="5">
        <v>48</v>
      </c>
      <c r="M30" s="5">
        <v>46</v>
      </c>
      <c r="N30">
        <f t="shared" si="1"/>
        <v>0.5</v>
      </c>
      <c r="O30">
        <f t="shared" si="1"/>
        <v>-0.11111111111111116</v>
      </c>
    </row>
    <row r="31" spans="1:15" x14ac:dyDescent="0.2">
      <c r="A31" s="7" t="s">
        <v>11</v>
      </c>
      <c r="B31" s="7" t="s">
        <v>87</v>
      </c>
      <c r="C31" t="s">
        <v>191</v>
      </c>
      <c r="D31" t="str">
        <f t="shared" si="0"/>
        <v>TX</v>
      </c>
      <c r="E31" s="7" t="s">
        <v>88</v>
      </c>
      <c r="F31" s="7" t="s">
        <v>89</v>
      </c>
      <c r="G31" s="7">
        <v>1</v>
      </c>
      <c r="H31" s="7" t="s">
        <v>90</v>
      </c>
      <c r="I31" s="7" t="s">
        <v>91</v>
      </c>
      <c r="J31" s="8"/>
      <c r="K31" s="7"/>
      <c r="L31" s="7"/>
      <c r="M31" s="7"/>
    </row>
    <row r="32" spans="1:15" x14ac:dyDescent="0.2">
      <c r="A32" s="7" t="s">
        <v>11</v>
      </c>
      <c r="B32" s="7" t="s">
        <v>87</v>
      </c>
      <c r="C32" t="s">
        <v>191</v>
      </c>
      <c r="D32" t="str">
        <f t="shared" si="0"/>
        <v>TX</v>
      </c>
      <c r="E32" s="7" t="s">
        <v>88</v>
      </c>
      <c r="F32" s="7" t="s">
        <v>89</v>
      </c>
      <c r="G32" s="7">
        <v>2</v>
      </c>
      <c r="H32" s="7" t="s">
        <v>92</v>
      </c>
      <c r="I32" s="7" t="s">
        <v>93</v>
      </c>
      <c r="J32" s="8">
        <v>1.6</v>
      </c>
      <c r="K32" s="7">
        <v>5</v>
      </c>
      <c r="L32" s="7">
        <v>2</v>
      </c>
      <c r="M32" s="7">
        <v>4</v>
      </c>
      <c r="N32">
        <f t="shared" si="1"/>
        <v>2.125</v>
      </c>
      <c r="O32">
        <f t="shared" si="1"/>
        <v>-0.6</v>
      </c>
    </row>
    <row r="33" spans="1:15" x14ac:dyDescent="0.2">
      <c r="A33" s="7" t="s">
        <v>11</v>
      </c>
      <c r="B33" s="7" t="s">
        <v>87</v>
      </c>
      <c r="C33" t="s">
        <v>191</v>
      </c>
      <c r="D33" t="str">
        <f t="shared" si="0"/>
        <v>TX</v>
      </c>
      <c r="E33" s="7" t="s">
        <v>88</v>
      </c>
      <c r="F33" s="7" t="s">
        <v>89</v>
      </c>
      <c r="G33" s="7">
        <v>3</v>
      </c>
      <c r="H33" s="7" t="s">
        <v>94</v>
      </c>
      <c r="I33" s="7" t="s">
        <v>95</v>
      </c>
      <c r="J33" s="8">
        <v>15.2</v>
      </c>
      <c r="K33" s="7">
        <v>14</v>
      </c>
      <c r="L33" s="7">
        <v>23</v>
      </c>
      <c r="M33" s="7">
        <v>16</v>
      </c>
      <c r="N33">
        <f t="shared" si="1"/>
        <v>-7.8947368421052544E-2</v>
      </c>
      <c r="O33">
        <f t="shared" si="1"/>
        <v>0.64285714285714279</v>
      </c>
    </row>
    <row r="34" spans="1:15" x14ac:dyDescent="0.2">
      <c r="A34" s="7" t="s">
        <v>11</v>
      </c>
      <c r="B34" s="7" t="s">
        <v>87</v>
      </c>
      <c r="C34" t="s">
        <v>191</v>
      </c>
      <c r="D34" t="str">
        <f t="shared" si="0"/>
        <v>TX</v>
      </c>
      <c r="E34" s="7" t="s">
        <v>88</v>
      </c>
      <c r="F34" s="7" t="s">
        <v>89</v>
      </c>
      <c r="G34" s="7">
        <v>4</v>
      </c>
      <c r="H34" s="7" t="s">
        <v>96</v>
      </c>
      <c r="I34" s="7" t="s">
        <v>97</v>
      </c>
      <c r="J34" s="8">
        <v>7.3</v>
      </c>
      <c r="K34" s="7">
        <v>3</v>
      </c>
      <c r="L34" s="7">
        <v>11</v>
      </c>
      <c r="M34" s="7">
        <v>10</v>
      </c>
      <c r="N34">
        <f t="shared" si="1"/>
        <v>-0.58904109589041087</v>
      </c>
      <c r="O34">
        <f t="shared" si="1"/>
        <v>2.6666666666666665</v>
      </c>
    </row>
    <row r="35" spans="1:15" x14ac:dyDescent="0.2">
      <c r="A35" s="7" t="s">
        <v>11</v>
      </c>
      <c r="B35" s="7" t="s">
        <v>87</v>
      </c>
      <c r="C35" t="s">
        <v>191</v>
      </c>
      <c r="D35" t="str">
        <f t="shared" si="0"/>
        <v>TX</v>
      </c>
      <c r="E35" s="7" t="s">
        <v>88</v>
      </c>
      <c r="F35" s="7" t="s">
        <v>89</v>
      </c>
      <c r="G35" s="7">
        <v>5</v>
      </c>
      <c r="H35" s="7" t="s">
        <v>98</v>
      </c>
      <c r="I35" s="7" t="s">
        <v>99</v>
      </c>
      <c r="J35" s="8">
        <v>9.3000000000000007</v>
      </c>
      <c r="K35" s="7">
        <v>8</v>
      </c>
      <c r="L35" s="7">
        <v>14</v>
      </c>
      <c r="M35" s="7">
        <v>11</v>
      </c>
      <c r="N35">
        <f t="shared" si="1"/>
        <v>-0.13978494623655924</v>
      </c>
      <c r="O35">
        <f t="shared" si="1"/>
        <v>0.75</v>
      </c>
    </row>
    <row r="36" spans="1:15" x14ac:dyDescent="0.2">
      <c r="A36" s="7" t="s">
        <v>11</v>
      </c>
      <c r="B36" s="7" t="s">
        <v>87</v>
      </c>
      <c r="C36" t="s">
        <v>191</v>
      </c>
      <c r="D36" t="str">
        <f t="shared" si="0"/>
        <v>TX</v>
      </c>
      <c r="E36" s="7" t="s">
        <v>88</v>
      </c>
      <c r="F36" s="7" t="s">
        <v>89</v>
      </c>
      <c r="G36" s="7">
        <v>6</v>
      </c>
      <c r="H36" s="7" t="s">
        <v>100</v>
      </c>
      <c r="I36" s="7" t="s">
        <v>101</v>
      </c>
      <c r="J36" s="8">
        <v>10.7</v>
      </c>
      <c r="K36" s="7">
        <v>6</v>
      </c>
      <c r="L36" s="7">
        <v>17</v>
      </c>
      <c r="M36" s="7">
        <v>17</v>
      </c>
      <c r="N36">
        <f t="shared" si="1"/>
        <v>-0.43925233644859807</v>
      </c>
      <c r="O36">
        <f t="shared" si="1"/>
        <v>1.8333333333333335</v>
      </c>
    </row>
    <row r="37" spans="1:15" x14ac:dyDescent="0.2">
      <c r="A37" s="7" t="s">
        <v>11</v>
      </c>
      <c r="B37" s="7" t="s">
        <v>87</v>
      </c>
      <c r="C37" t="s">
        <v>191</v>
      </c>
      <c r="D37" t="str">
        <f t="shared" si="0"/>
        <v>TX</v>
      </c>
      <c r="E37" s="7" t="s">
        <v>88</v>
      </c>
      <c r="F37" s="7" t="s">
        <v>89</v>
      </c>
      <c r="G37" s="7">
        <v>7</v>
      </c>
      <c r="H37" s="7" t="s">
        <v>102</v>
      </c>
      <c r="I37" s="7" t="s">
        <v>103</v>
      </c>
      <c r="J37" s="8">
        <v>3.7</v>
      </c>
      <c r="K37" s="7">
        <v>6</v>
      </c>
      <c r="L37" s="7">
        <v>5</v>
      </c>
      <c r="M37" s="7">
        <v>3</v>
      </c>
      <c r="N37">
        <f t="shared" si="1"/>
        <v>0.62162162162162149</v>
      </c>
      <c r="O37">
        <f t="shared" si="1"/>
        <v>-0.16666666666666663</v>
      </c>
    </row>
    <row r="38" spans="1:15" x14ac:dyDescent="0.2">
      <c r="A38" s="9" t="s">
        <v>104</v>
      </c>
      <c r="B38" s="9" t="s">
        <v>105</v>
      </c>
      <c r="C38" t="s">
        <v>195</v>
      </c>
      <c r="D38" t="str">
        <f t="shared" si="0"/>
        <v>OR</v>
      </c>
      <c r="E38" s="9" t="s">
        <v>106</v>
      </c>
      <c r="F38" s="9" t="s">
        <v>107</v>
      </c>
      <c r="G38" s="9">
        <v>1</v>
      </c>
      <c r="H38" s="9" t="s">
        <v>108</v>
      </c>
      <c r="I38" s="9" t="s">
        <v>109</v>
      </c>
      <c r="J38" s="10">
        <v>43</v>
      </c>
      <c r="K38" s="9">
        <v>51</v>
      </c>
      <c r="L38" s="9">
        <v>50</v>
      </c>
      <c r="M38" s="9">
        <v>75</v>
      </c>
      <c r="N38">
        <f t="shared" si="1"/>
        <v>0.18604651162790709</v>
      </c>
      <c r="O38">
        <f t="shared" si="1"/>
        <v>-1.9607843137254943E-2</v>
      </c>
    </row>
    <row r="39" spans="1:15" x14ac:dyDescent="0.2">
      <c r="A39" s="9" t="s">
        <v>104</v>
      </c>
      <c r="B39" s="9" t="s">
        <v>105</v>
      </c>
      <c r="C39" t="s">
        <v>195</v>
      </c>
      <c r="D39" t="str">
        <f t="shared" si="0"/>
        <v>OR</v>
      </c>
      <c r="E39" s="9" t="s">
        <v>106</v>
      </c>
      <c r="F39" s="9" t="s">
        <v>107</v>
      </c>
      <c r="G39" s="9">
        <v>4</v>
      </c>
      <c r="H39" s="9" t="s">
        <v>110</v>
      </c>
      <c r="I39" s="9" t="s">
        <v>111</v>
      </c>
      <c r="J39" s="10">
        <v>30</v>
      </c>
      <c r="K39" s="9">
        <v>46</v>
      </c>
      <c r="L39" s="9">
        <v>41</v>
      </c>
      <c r="M39" s="9">
        <v>63</v>
      </c>
      <c r="N39">
        <f t="shared" si="1"/>
        <v>0.53333333333333344</v>
      </c>
      <c r="O39">
        <f t="shared" si="1"/>
        <v>-0.10869565217391308</v>
      </c>
    </row>
    <row r="40" spans="1:15" x14ac:dyDescent="0.2">
      <c r="A40" s="9" t="s">
        <v>104</v>
      </c>
      <c r="B40" s="9" t="s">
        <v>105</v>
      </c>
      <c r="C40" t="s">
        <v>195</v>
      </c>
      <c r="D40" t="str">
        <f t="shared" si="0"/>
        <v>OR</v>
      </c>
      <c r="E40" s="9" t="s">
        <v>106</v>
      </c>
      <c r="F40" s="9" t="s">
        <v>107</v>
      </c>
      <c r="G40" s="9">
        <v>5</v>
      </c>
      <c r="H40" s="9" t="s">
        <v>112</v>
      </c>
      <c r="I40" s="9" t="s">
        <v>113</v>
      </c>
      <c r="J40" s="10">
        <v>35</v>
      </c>
      <c r="K40" s="9">
        <v>43</v>
      </c>
      <c r="L40" s="9">
        <v>53</v>
      </c>
      <c r="M40" s="9">
        <v>73</v>
      </c>
      <c r="N40">
        <f t="shared" si="1"/>
        <v>0.22857142857142865</v>
      </c>
      <c r="O40">
        <f t="shared" si="1"/>
        <v>0.23255813953488369</v>
      </c>
    </row>
    <row r="41" spans="1:15" x14ac:dyDescent="0.2">
      <c r="A41" s="9" t="s">
        <v>104</v>
      </c>
      <c r="B41" s="9" t="s">
        <v>105</v>
      </c>
      <c r="C41" t="s">
        <v>195</v>
      </c>
      <c r="D41" t="str">
        <f t="shared" si="0"/>
        <v>OR</v>
      </c>
      <c r="E41" s="9" t="s">
        <v>106</v>
      </c>
      <c r="F41" s="9" t="s">
        <v>107</v>
      </c>
      <c r="G41" s="9">
        <v>6</v>
      </c>
      <c r="H41" s="9" t="s">
        <v>114</v>
      </c>
      <c r="I41" s="9" t="s">
        <v>115</v>
      </c>
      <c r="J41" s="10">
        <v>33</v>
      </c>
      <c r="K41" s="9">
        <v>41</v>
      </c>
      <c r="L41" s="9">
        <v>44</v>
      </c>
      <c r="M41" s="9">
        <v>60</v>
      </c>
      <c r="N41">
        <f t="shared" si="1"/>
        <v>0.24242424242424243</v>
      </c>
      <c r="O41">
        <f t="shared" si="1"/>
        <v>7.3170731707317138E-2</v>
      </c>
    </row>
    <row r="42" spans="1:15" x14ac:dyDescent="0.2">
      <c r="A42" s="2" t="s">
        <v>116</v>
      </c>
      <c r="B42" s="2" t="s">
        <v>117</v>
      </c>
      <c r="C42" t="s">
        <v>194</v>
      </c>
      <c r="D42" t="str">
        <f t="shared" si="0"/>
        <v>PA</v>
      </c>
      <c r="E42" s="2" t="s">
        <v>118</v>
      </c>
      <c r="F42" s="2" t="s">
        <v>119</v>
      </c>
      <c r="G42" s="2">
        <v>1</v>
      </c>
      <c r="H42" s="2" t="s">
        <v>120</v>
      </c>
      <c r="I42" s="2" t="s">
        <v>121</v>
      </c>
      <c r="J42" s="2">
        <v>3</v>
      </c>
      <c r="K42" s="2">
        <v>6</v>
      </c>
      <c r="L42" s="2"/>
      <c r="M42" s="2"/>
      <c r="N42">
        <f t="shared" si="1"/>
        <v>1</v>
      </c>
      <c r="O42">
        <f t="shared" si="1"/>
        <v>-1</v>
      </c>
    </row>
    <row r="43" spans="1:15" x14ac:dyDescent="0.2">
      <c r="A43" s="2" t="s">
        <v>116</v>
      </c>
      <c r="B43" s="2" t="s">
        <v>117</v>
      </c>
      <c r="C43" t="s">
        <v>194</v>
      </c>
      <c r="D43" t="str">
        <f t="shared" si="0"/>
        <v>PA</v>
      </c>
      <c r="E43" s="2" t="s">
        <v>118</v>
      </c>
      <c r="F43" s="2" t="s">
        <v>119</v>
      </c>
      <c r="G43" s="2">
        <v>2</v>
      </c>
      <c r="H43" s="2" t="s">
        <v>122</v>
      </c>
      <c r="I43" s="2" t="s">
        <v>123</v>
      </c>
      <c r="J43" s="2">
        <v>5</v>
      </c>
      <c r="K43" s="2">
        <v>15</v>
      </c>
      <c r="L43" s="2"/>
      <c r="M43" s="2"/>
      <c r="N43">
        <f t="shared" si="1"/>
        <v>2</v>
      </c>
      <c r="O43">
        <f t="shared" si="1"/>
        <v>-1</v>
      </c>
    </row>
    <row r="44" spans="1:15" x14ac:dyDescent="0.2">
      <c r="A44" s="2" t="s">
        <v>116</v>
      </c>
      <c r="B44" s="2" t="s">
        <v>117</v>
      </c>
      <c r="C44" t="s">
        <v>194</v>
      </c>
      <c r="D44" t="str">
        <f t="shared" si="0"/>
        <v>PA</v>
      </c>
      <c r="E44" s="2" t="s">
        <v>118</v>
      </c>
      <c r="F44" s="2" t="s">
        <v>119</v>
      </c>
      <c r="G44" s="2">
        <v>3</v>
      </c>
      <c r="H44" s="2" t="s">
        <v>124</v>
      </c>
      <c r="I44" s="2" t="s">
        <v>125</v>
      </c>
      <c r="J44" s="2">
        <v>7</v>
      </c>
      <c r="K44" s="2">
        <v>11</v>
      </c>
      <c r="L44" s="2"/>
      <c r="M44" s="2"/>
      <c r="N44">
        <f t="shared" si="1"/>
        <v>0.5714285714285714</v>
      </c>
      <c r="O44">
        <f t="shared" si="1"/>
        <v>-1</v>
      </c>
    </row>
    <row r="45" spans="1:15" x14ac:dyDescent="0.2">
      <c r="A45" s="11" t="s">
        <v>51</v>
      </c>
      <c r="B45" s="11" t="s">
        <v>126</v>
      </c>
      <c r="C45" t="s">
        <v>197</v>
      </c>
      <c r="D45" t="str">
        <f t="shared" si="0"/>
        <v>UT</v>
      </c>
      <c r="E45" s="11" t="s">
        <v>127</v>
      </c>
      <c r="F45" s="11" t="s">
        <v>128</v>
      </c>
      <c r="G45" s="11">
        <v>1</v>
      </c>
      <c r="H45" s="11" t="s">
        <v>129</v>
      </c>
      <c r="I45" s="11" t="s">
        <v>130</v>
      </c>
      <c r="J45" s="11">
        <v>25</v>
      </c>
      <c r="K45" s="11">
        <v>31</v>
      </c>
      <c r="L45" s="11">
        <v>62</v>
      </c>
      <c r="M45" s="11">
        <v>55</v>
      </c>
      <c r="N45">
        <f t="shared" si="1"/>
        <v>0.24</v>
      </c>
      <c r="O45">
        <f t="shared" si="1"/>
        <v>1</v>
      </c>
    </row>
    <row r="46" spans="1:15" x14ac:dyDescent="0.2">
      <c r="A46" s="11" t="s">
        <v>51</v>
      </c>
      <c r="B46" s="11" t="s">
        <v>126</v>
      </c>
      <c r="C46" t="s">
        <v>197</v>
      </c>
      <c r="D46" t="str">
        <f t="shared" si="0"/>
        <v>UT</v>
      </c>
      <c r="E46" s="11" t="s">
        <v>127</v>
      </c>
      <c r="F46" s="11" t="s">
        <v>128</v>
      </c>
      <c r="G46" s="11">
        <v>2</v>
      </c>
      <c r="H46" s="11" t="s">
        <v>131</v>
      </c>
      <c r="I46" s="11" t="s">
        <v>132</v>
      </c>
      <c r="J46" s="11">
        <v>54</v>
      </c>
      <c r="K46" s="11">
        <v>61</v>
      </c>
      <c r="L46" s="11">
        <v>86</v>
      </c>
      <c r="M46" s="11">
        <v>92</v>
      </c>
      <c r="N46">
        <f t="shared" si="1"/>
        <v>0.12962962962962954</v>
      </c>
      <c r="O46">
        <f t="shared" si="1"/>
        <v>0.4098360655737705</v>
      </c>
    </row>
    <row r="47" spans="1:15" x14ac:dyDescent="0.2">
      <c r="A47" s="11" t="s">
        <v>51</v>
      </c>
      <c r="B47" s="11" t="s">
        <v>126</v>
      </c>
      <c r="C47" t="s">
        <v>197</v>
      </c>
      <c r="D47" t="str">
        <f t="shared" si="0"/>
        <v>UT</v>
      </c>
      <c r="E47" s="11" t="s">
        <v>127</v>
      </c>
      <c r="F47" s="11" t="s">
        <v>128</v>
      </c>
      <c r="G47" s="11">
        <v>3</v>
      </c>
      <c r="H47" s="11" t="s">
        <v>133</v>
      </c>
      <c r="I47" s="11" t="s">
        <v>134</v>
      </c>
      <c r="J47" s="11">
        <v>46</v>
      </c>
      <c r="K47" s="11">
        <v>53</v>
      </c>
      <c r="L47" s="11">
        <v>68</v>
      </c>
      <c r="M47" s="11">
        <v>72</v>
      </c>
      <c r="N47">
        <f t="shared" si="1"/>
        <v>0.15217391304347827</v>
      </c>
      <c r="O47">
        <f t="shared" si="1"/>
        <v>0.28301886792452824</v>
      </c>
    </row>
    <row r="48" spans="1:15" x14ac:dyDescent="0.2">
      <c r="A48" s="11" t="s">
        <v>51</v>
      </c>
      <c r="B48" s="11" t="s">
        <v>126</v>
      </c>
      <c r="C48" t="s">
        <v>197</v>
      </c>
      <c r="D48" t="str">
        <f t="shared" si="0"/>
        <v>UT</v>
      </c>
      <c r="E48" s="11" t="s">
        <v>127</v>
      </c>
      <c r="F48" s="11" t="s">
        <v>128</v>
      </c>
      <c r="G48" s="11">
        <v>4</v>
      </c>
      <c r="H48" s="11" t="s">
        <v>135</v>
      </c>
      <c r="I48" s="11" t="s">
        <v>136</v>
      </c>
      <c r="J48" s="11">
        <v>56</v>
      </c>
      <c r="K48" s="11">
        <v>53</v>
      </c>
      <c r="L48" s="11">
        <v>86</v>
      </c>
      <c r="M48" s="12">
        <v>101</v>
      </c>
      <c r="N48">
        <f t="shared" si="1"/>
        <v>-5.3571428571428603E-2</v>
      </c>
      <c r="O48">
        <f t="shared" si="1"/>
        <v>0.62264150943396235</v>
      </c>
    </row>
    <row r="49" spans="1:15" x14ac:dyDescent="0.2">
      <c r="A49" s="13" t="s">
        <v>116</v>
      </c>
      <c r="B49" s="13" t="s">
        <v>137</v>
      </c>
      <c r="C49" t="s">
        <v>192</v>
      </c>
      <c r="D49" t="str">
        <f t="shared" si="0"/>
        <v>NJ</v>
      </c>
      <c r="E49" s="13" t="s">
        <v>138</v>
      </c>
      <c r="F49" s="13" t="s">
        <v>139</v>
      </c>
      <c r="G49" s="13">
        <v>1</v>
      </c>
      <c r="H49" s="13" t="s">
        <v>140</v>
      </c>
      <c r="I49" s="13" t="s">
        <v>141</v>
      </c>
      <c r="J49" s="13">
        <v>19</v>
      </c>
      <c r="K49" s="13">
        <v>18</v>
      </c>
      <c r="L49" s="13">
        <v>26</v>
      </c>
      <c r="M49" s="13">
        <v>50</v>
      </c>
      <c r="N49">
        <f t="shared" si="1"/>
        <v>-5.2631578947368474E-2</v>
      </c>
      <c r="O49">
        <f t="shared" si="1"/>
        <v>0.44444444444444442</v>
      </c>
    </row>
    <row r="50" spans="1:15" x14ac:dyDescent="0.2">
      <c r="A50" s="13" t="s">
        <v>116</v>
      </c>
      <c r="B50" s="13" t="s">
        <v>137</v>
      </c>
      <c r="C50" t="s">
        <v>192</v>
      </c>
      <c r="D50" t="str">
        <f t="shared" si="0"/>
        <v>NJ</v>
      </c>
      <c r="E50" s="13" t="s">
        <v>138</v>
      </c>
      <c r="F50" s="13" t="s">
        <v>139</v>
      </c>
      <c r="G50" s="13">
        <v>2</v>
      </c>
      <c r="H50" s="13" t="s">
        <v>142</v>
      </c>
      <c r="I50" s="13" t="s">
        <v>143</v>
      </c>
      <c r="J50" s="13">
        <v>16</v>
      </c>
      <c r="K50" s="13">
        <v>14</v>
      </c>
      <c r="L50" s="13">
        <v>27</v>
      </c>
      <c r="M50" s="13">
        <v>46</v>
      </c>
      <c r="N50">
        <f t="shared" si="1"/>
        <v>-0.125</v>
      </c>
      <c r="O50">
        <f t="shared" si="1"/>
        <v>0.9285714285714286</v>
      </c>
    </row>
    <row r="51" spans="1:15" x14ac:dyDescent="0.2">
      <c r="A51" s="13" t="s">
        <v>116</v>
      </c>
      <c r="B51" s="13" t="s">
        <v>137</v>
      </c>
      <c r="C51" t="s">
        <v>192</v>
      </c>
      <c r="D51" t="str">
        <f t="shared" si="0"/>
        <v>NJ</v>
      </c>
      <c r="E51" s="13" t="s">
        <v>138</v>
      </c>
      <c r="F51" s="13" t="s">
        <v>139</v>
      </c>
      <c r="G51" s="13">
        <v>3</v>
      </c>
      <c r="H51" s="13" t="s">
        <v>144</v>
      </c>
      <c r="I51" s="13" t="s">
        <v>145</v>
      </c>
      <c r="J51" s="13">
        <v>35</v>
      </c>
      <c r="K51" s="13">
        <v>21</v>
      </c>
      <c r="L51" s="13">
        <v>50</v>
      </c>
      <c r="M51" s="13">
        <v>57</v>
      </c>
      <c r="N51">
        <f t="shared" si="1"/>
        <v>-0.4</v>
      </c>
      <c r="O51">
        <f t="shared" si="1"/>
        <v>1.3809523809523809</v>
      </c>
    </row>
    <row r="52" spans="1:15" x14ac:dyDescent="0.2">
      <c r="A52" s="9" t="s">
        <v>116</v>
      </c>
      <c r="B52" s="9" t="s">
        <v>146</v>
      </c>
      <c r="C52" t="s">
        <v>193</v>
      </c>
      <c r="D52" t="str">
        <f t="shared" si="0"/>
        <v>AZ</v>
      </c>
      <c r="E52" s="9" t="s">
        <v>147</v>
      </c>
      <c r="F52" s="9" t="s">
        <v>148</v>
      </c>
      <c r="G52" s="9">
        <v>1</v>
      </c>
      <c r="H52" s="9" t="s">
        <v>149</v>
      </c>
      <c r="I52" s="9" t="s">
        <v>150</v>
      </c>
      <c r="J52" s="9">
        <v>28</v>
      </c>
      <c r="K52" s="9">
        <v>37</v>
      </c>
      <c r="L52" s="9">
        <v>45</v>
      </c>
      <c r="M52" s="9">
        <v>54</v>
      </c>
      <c r="N52">
        <f t="shared" si="1"/>
        <v>0.3214285714285714</v>
      </c>
      <c r="O52">
        <f t="shared" si="1"/>
        <v>0.21621621621621623</v>
      </c>
    </row>
    <row r="53" spans="1:15" x14ac:dyDescent="0.2">
      <c r="A53" s="9" t="s">
        <v>116</v>
      </c>
      <c r="B53" s="9" t="s">
        <v>146</v>
      </c>
      <c r="C53" t="s">
        <v>193</v>
      </c>
      <c r="D53" t="str">
        <f t="shared" si="0"/>
        <v>AZ</v>
      </c>
      <c r="E53" s="9" t="s">
        <v>147</v>
      </c>
      <c r="F53" s="9" t="s">
        <v>148</v>
      </c>
      <c r="G53" s="9">
        <v>2</v>
      </c>
      <c r="H53" s="9" t="s">
        <v>151</v>
      </c>
      <c r="I53" s="9" t="s">
        <v>152</v>
      </c>
      <c r="J53" s="9">
        <v>23</v>
      </c>
      <c r="K53" s="9">
        <v>33</v>
      </c>
      <c r="L53" s="9">
        <v>30</v>
      </c>
      <c r="M53" s="9">
        <v>51</v>
      </c>
      <c r="N53">
        <f t="shared" si="1"/>
        <v>0.43478260869565211</v>
      </c>
      <c r="O53">
        <f t="shared" si="1"/>
        <v>-9.0909090909090939E-2</v>
      </c>
    </row>
    <row r="54" spans="1:15" x14ac:dyDescent="0.2">
      <c r="A54" s="9" t="s">
        <v>116</v>
      </c>
      <c r="B54" s="9" t="s">
        <v>146</v>
      </c>
      <c r="C54" t="s">
        <v>193</v>
      </c>
      <c r="D54" t="str">
        <f t="shared" si="0"/>
        <v>AZ</v>
      </c>
      <c r="E54" s="9" t="s">
        <v>147</v>
      </c>
      <c r="F54" s="9" t="s">
        <v>148</v>
      </c>
      <c r="G54" s="9">
        <v>3</v>
      </c>
      <c r="H54" s="9" t="s">
        <v>153</v>
      </c>
      <c r="I54" s="9" t="s">
        <v>154</v>
      </c>
      <c r="J54" s="9">
        <v>35</v>
      </c>
      <c r="K54" s="9">
        <v>46</v>
      </c>
      <c r="L54" s="9">
        <v>33</v>
      </c>
      <c r="M54" s="9">
        <v>66</v>
      </c>
      <c r="N54">
        <f t="shared" si="1"/>
        <v>0.31428571428571428</v>
      </c>
      <c r="O54">
        <f t="shared" si="1"/>
        <v>-0.28260869565217395</v>
      </c>
    </row>
    <row r="55" spans="1:15" x14ac:dyDescent="0.2">
      <c r="A55" s="9" t="s">
        <v>116</v>
      </c>
      <c r="B55" s="9" t="s">
        <v>146</v>
      </c>
      <c r="C55" t="s">
        <v>193</v>
      </c>
      <c r="D55" t="str">
        <f t="shared" si="0"/>
        <v>AZ</v>
      </c>
      <c r="E55" s="9" t="s">
        <v>147</v>
      </c>
      <c r="F55" s="9" t="s">
        <v>148</v>
      </c>
      <c r="G55" s="9">
        <v>4</v>
      </c>
      <c r="H55" s="9" t="s">
        <v>155</v>
      </c>
      <c r="I55" s="9" t="s">
        <v>156</v>
      </c>
      <c r="J55" s="9">
        <v>33</v>
      </c>
      <c r="K55" s="9">
        <v>44</v>
      </c>
      <c r="L55" s="9">
        <v>55</v>
      </c>
      <c r="M55" s="9">
        <v>65</v>
      </c>
      <c r="N55">
        <f t="shared" si="1"/>
        <v>0.33333333333333326</v>
      </c>
      <c r="O55">
        <f t="shared" si="1"/>
        <v>0.25</v>
      </c>
    </row>
    <row r="56" spans="1:15" x14ac:dyDescent="0.2">
      <c r="A56" s="9" t="s">
        <v>116</v>
      </c>
      <c r="B56" s="9" t="s">
        <v>146</v>
      </c>
      <c r="C56" t="s">
        <v>193</v>
      </c>
      <c r="D56" t="str">
        <f t="shared" si="0"/>
        <v>AZ</v>
      </c>
      <c r="E56" s="9"/>
      <c r="F56" s="9"/>
      <c r="G56" s="9">
        <v>5</v>
      </c>
      <c r="H56" s="9" t="s">
        <v>157</v>
      </c>
      <c r="I56" s="9" t="s">
        <v>158</v>
      </c>
      <c r="J56" s="9">
        <v>40</v>
      </c>
      <c r="K56" s="9">
        <v>74</v>
      </c>
      <c r="L56" s="9">
        <v>71</v>
      </c>
      <c r="M56" s="14">
        <v>129</v>
      </c>
      <c r="N56">
        <f t="shared" si="1"/>
        <v>0.85000000000000009</v>
      </c>
      <c r="O56">
        <f t="shared" si="1"/>
        <v>-4.0540540540540571E-2</v>
      </c>
    </row>
    <row r="57" spans="1:15" x14ac:dyDescent="0.2">
      <c r="A57" s="15" t="s">
        <v>51</v>
      </c>
      <c r="B57" s="15" t="s">
        <v>159</v>
      </c>
      <c r="C57" t="s">
        <v>196</v>
      </c>
      <c r="D57" t="str">
        <f t="shared" si="0"/>
        <v>UT</v>
      </c>
      <c r="E57" s="15" t="s">
        <v>127</v>
      </c>
      <c r="F57" s="15" t="s">
        <v>160</v>
      </c>
      <c r="G57" s="15">
        <v>1</v>
      </c>
      <c r="H57" s="15" t="s">
        <v>161</v>
      </c>
      <c r="I57" s="15" t="s">
        <v>161</v>
      </c>
      <c r="J57" s="15">
        <v>59</v>
      </c>
      <c r="K57" s="15">
        <v>65</v>
      </c>
      <c r="L57" s="15">
        <v>68</v>
      </c>
      <c r="M57" s="15">
        <v>96</v>
      </c>
      <c r="N57">
        <f t="shared" si="1"/>
        <v>0.10169491525423724</v>
      </c>
      <c r="O57">
        <f t="shared" si="1"/>
        <v>4.6153846153846212E-2</v>
      </c>
    </row>
    <row r="58" spans="1:15" x14ac:dyDescent="0.2">
      <c r="A58" s="15" t="s">
        <v>51</v>
      </c>
      <c r="B58" s="15" t="s">
        <v>159</v>
      </c>
      <c r="C58" t="s">
        <v>196</v>
      </c>
      <c r="D58" t="str">
        <f t="shared" si="0"/>
        <v>UT</v>
      </c>
      <c r="E58" s="15" t="s">
        <v>127</v>
      </c>
      <c r="F58" s="15" t="s">
        <v>160</v>
      </c>
      <c r="G58" s="15">
        <v>2</v>
      </c>
      <c r="H58" s="15" t="s">
        <v>162</v>
      </c>
      <c r="I58" s="15" t="s">
        <v>162</v>
      </c>
      <c r="J58" s="15">
        <v>58</v>
      </c>
      <c r="K58" s="15">
        <v>72</v>
      </c>
      <c r="L58" s="15">
        <v>61</v>
      </c>
      <c r="M58" s="15">
        <v>69</v>
      </c>
      <c r="N58">
        <f t="shared" si="1"/>
        <v>0.24137931034482762</v>
      </c>
      <c r="O58">
        <f t="shared" si="1"/>
        <v>-0.15277777777777779</v>
      </c>
    </row>
    <row r="59" spans="1:15" x14ac:dyDescent="0.2">
      <c r="A59" s="15" t="s">
        <v>51</v>
      </c>
      <c r="B59" s="15" t="s">
        <v>159</v>
      </c>
      <c r="C59" t="s">
        <v>196</v>
      </c>
      <c r="D59" t="str">
        <f t="shared" si="0"/>
        <v>UT</v>
      </c>
      <c r="E59" s="15" t="s">
        <v>127</v>
      </c>
      <c r="F59" s="15" t="s">
        <v>160</v>
      </c>
      <c r="G59" s="15">
        <v>3</v>
      </c>
      <c r="H59" s="15" t="s">
        <v>163</v>
      </c>
      <c r="I59" s="15" t="s">
        <v>163</v>
      </c>
      <c r="J59" s="15">
        <v>51</v>
      </c>
      <c r="K59" s="15">
        <v>46</v>
      </c>
      <c r="L59" s="15">
        <v>46</v>
      </c>
      <c r="M59" s="15">
        <v>58</v>
      </c>
      <c r="N59">
        <f t="shared" si="1"/>
        <v>-9.8039215686274495E-2</v>
      </c>
      <c r="O59">
        <f t="shared" si="1"/>
        <v>0</v>
      </c>
    </row>
    <row r="60" spans="1:15" x14ac:dyDescent="0.2">
      <c r="A60" s="16" t="s">
        <v>104</v>
      </c>
      <c r="B60" s="16" t="s">
        <v>164</v>
      </c>
      <c r="C60" t="s">
        <v>198</v>
      </c>
      <c r="D60" t="str">
        <f t="shared" si="0"/>
        <v>CA</v>
      </c>
      <c r="E60" s="16" t="s">
        <v>165</v>
      </c>
      <c r="F60" s="16" t="s">
        <v>166</v>
      </c>
      <c r="G60" s="2">
        <v>1</v>
      </c>
      <c r="H60" s="2" t="s">
        <v>167</v>
      </c>
      <c r="I60" s="2" t="s">
        <v>168</v>
      </c>
      <c r="J60" s="2">
        <v>59</v>
      </c>
      <c r="K60" s="2">
        <v>57</v>
      </c>
      <c r="L60" s="2">
        <v>89</v>
      </c>
      <c r="M60" s="4">
        <v>127</v>
      </c>
      <c r="N60">
        <f t="shared" si="1"/>
        <v>-3.3898305084745783E-2</v>
      </c>
      <c r="O60">
        <f t="shared" si="1"/>
        <v>0.56140350877192979</v>
      </c>
    </row>
    <row r="61" spans="1:15" x14ac:dyDescent="0.2">
      <c r="A61" s="16" t="s">
        <v>104</v>
      </c>
      <c r="B61" s="16" t="s">
        <v>164</v>
      </c>
      <c r="C61" t="s">
        <v>198</v>
      </c>
      <c r="D61" t="str">
        <f t="shared" si="0"/>
        <v>CA</v>
      </c>
      <c r="E61" s="16" t="s">
        <v>165</v>
      </c>
      <c r="F61" s="16" t="s">
        <v>166</v>
      </c>
      <c r="G61" s="2">
        <v>2</v>
      </c>
      <c r="H61" s="2" t="s">
        <v>169</v>
      </c>
      <c r="I61" s="2" t="s">
        <v>170</v>
      </c>
      <c r="J61" s="2">
        <v>46</v>
      </c>
      <c r="K61" s="2">
        <v>50</v>
      </c>
      <c r="L61" s="2">
        <v>79</v>
      </c>
      <c r="M61" s="4">
        <v>101</v>
      </c>
      <c r="N61">
        <f t="shared" si="1"/>
        <v>8.6956521739130377E-2</v>
      </c>
      <c r="O61">
        <f t="shared" si="1"/>
        <v>0.58000000000000007</v>
      </c>
    </row>
    <row r="62" spans="1:15" x14ac:dyDescent="0.2">
      <c r="A62" s="16" t="s">
        <v>104</v>
      </c>
      <c r="B62" s="16" t="s">
        <v>164</v>
      </c>
      <c r="C62" t="s">
        <v>198</v>
      </c>
      <c r="D62" t="str">
        <f t="shared" si="0"/>
        <v>CA</v>
      </c>
      <c r="E62" s="16" t="s">
        <v>165</v>
      </c>
      <c r="F62" s="16" t="s">
        <v>166</v>
      </c>
      <c r="G62" s="2">
        <v>3</v>
      </c>
      <c r="H62" s="2" t="s">
        <v>171</v>
      </c>
      <c r="I62" s="2" t="s">
        <v>172</v>
      </c>
      <c r="J62" s="2">
        <v>40</v>
      </c>
      <c r="K62" s="2">
        <v>48</v>
      </c>
      <c r="L62" s="2">
        <v>64</v>
      </c>
      <c r="M62" s="4">
        <v>109</v>
      </c>
      <c r="N62">
        <f t="shared" si="1"/>
        <v>0.19999999999999996</v>
      </c>
      <c r="O62">
        <f t="shared" si="1"/>
        <v>0.33333333333333326</v>
      </c>
    </row>
    <row r="63" spans="1:15" x14ac:dyDescent="0.2">
      <c r="A63" s="16" t="s">
        <v>104</v>
      </c>
      <c r="B63" s="16" t="s">
        <v>164</v>
      </c>
      <c r="C63" t="s">
        <v>198</v>
      </c>
      <c r="D63" t="str">
        <f t="shared" si="0"/>
        <v>CA</v>
      </c>
      <c r="E63" s="16" t="s">
        <v>165</v>
      </c>
      <c r="F63" s="16" t="s">
        <v>166</v>
      </c>
      <c r="G63" s="2">
        <v>4</v>
      </c>
      <c r="H63" s="2" t="s">
        <v>173</v>
      </c>
      <c r="I63" s="2" t="s">
        <v>174</v>
      </c>
      <c r="J63" s="2">
        <v>39</v>
      </c>
      <c r="K63" s="2">
        <v>45</v>
      </c>
      <c r="L63" s="2">
        <v>48</v>
      </c>
      <c r="M63" s="4">
        <v>97</v>
      </c>
      <c r="N63">
        <f t="shared" si="1"/>
        <v>0.15384615384615374</v>
      </c>
      <c r="O63">
        <f t="shared" si="1"/>
        <v>6.6666666666666652E-2</v>
      </c>
    </row>
    <row r="64" spans="1:15" x14ac:dyDescent="0.2">
      <c r="A64" s="17" t="s">
        <v>104</v>
      </c>
      <c r="B64" s="18" t="s">
        <v>175</v>
      </c>
      <c r="C64" t="s">
        <v>199</v>
      </c>
      <c r="D64" t="str">
        <f t="shared" si="0"/>
        <v>CA</v>
      </c>
      <c r="E64" s="17" t="s">
        <v>176</v>
      </c>
      <c r="F64" s="17" t="s">
        <v>177</v>
      </c>
      <c r="G64" s="18">
        <v>1</v>
      </c>
      <c r="H64" s="18" t="s">
        <v>178</v>
      </c>
      <c r="I64" s="18" t="s">
        <v>179</v>
      </c>
      <c r="J64" s="18">
        <v>31</v>
      </c>
      <c r="K64" s="18">
        <v>49</v>
      </c>
      <c r="L64" s="18">
        <v>42</v>
      </c>
      <c r="M64" s="18">
        <v>28</v>
      </c>
      <c r="N64">
        <f t="shared" si="1"/>
        <v>0.58064516129032251</v>
      </c>
      <c r="O64">
        <f t="shared" si="1"/>
        <v>-0.1428571428571429</v>
      </c>
    </row>
    <row r="65" spans="1:15" x14ac:dyDescent="0.2">
      <c r="A65" s="17" t="s">
        <v>104</v>
      </c>
      <c r="B65" s="18" t="s">
        <v>175</v>
      </c>
      <c r="C65" t="s">
        <v>199</v>
      </c>
      <c r="D65" t="str">
        <f t="shared" si="0"/>
        <v>CA</v>
      </c>
      <c r="E65" s="17" t="s">
        <v>176</v>
      </c>
      <c r="F65" s="17" t="s">
        <v>177</v>
      </c>
      <c r="G65" s="18">
        <v>2</v>
      </c>
      <c r="H65" s="18" t="s">
        <v>180</v>
      </c>
      <c r="I65" s="18" t="s">
        <v>181</v>
      </c>
      <c r="J65" s="18">
        <v>49</v>
      </c>
      <c r="K65" s="18">
        <v>62</v>
      </c>
      <c r="L65" s="18">
        <v>49</v>
      </c>
      <c r="M65" s="18">
        <v>33</v>
      </c>
      <c r="N65">
        <f t="shared" si="1"/>
        <v>0.26530612244897966</v>
      </c>
      <c r="O65">
        <f t="shared" si="1"/>
        <v>-0.20967741935483875</v>
      </c>
    </row>
    <row r="66" spans="1:15" x14ac:dyDescent="0.2">
      <c r="A66" s="17" t="s">
        <v>104</v>
      </c>
      <c r="B66" s="18" t="s">
        <v>175</v>
      </c>
      <c r="C66" t="s">
        <v>199</v>
      </c>
      <c r="D66" t="str">
        <f t="shared" si="0"/>
        <v>CA</v>
      </c>
      <c r="E66" s="17" t="s">
        <v>176</v>
      </c>
      <c r="F66" s="17" t="s">
        <v>177</v>
      </c>
      <c r="G66" s="18"/>
      <c r="H66" s="18" t="s">
        <v>182</v>
      </c>
      <c r="I66" s="18" t="s">
        <v>183</v>
      </c>
      <c r="J66" s="18">
        <v>54</v>
      </c>
      <c r="K66" s="18">
        <v>49</v>
      </c>
      <c r="L66" s="18">
        <v>42</v>
      </c>
      <c r="M66" s="18">
        <v>39</v>
      </c>
      <c r="N66">
        <f t="shared" si="1"/>
        <v>-9.259259259259256E-2</v>
      </c>
      <c r="O66">
        <f t="shared" si="1"/>
        <v>-0.1428571428571429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066D-F9C5-B747-B7EB-E61FE56A6A6E}">
  <dimension ref="A1:E49"/>
  <sheetViews>
    <sheetView workbookViewId="0">
      <selection activeCell="B2" sqref="B2:B48"/>
    </sheetView>
  </sheetViews>
  <sheetFormatPr baseColWidth="10" defaultRowHeight="16" x14ac:dyDescent="0.2"/>
  <cols>
    <col min="1" max="1" width="17.5" bestFit="1" customWidth="1"/>
  </cols>
  <sheetData>
    <row r="1" spans="1:5" x14ac:dyDescent="0.2">
      <c r="A1" t="s">
        <v>200</v>
      </c>
      <c r="B1" t="s">
        <v>217</v>
      </c>
    </row>
    <row r="2" spans="1:5" x14ac:dyDescent="0.2">
      <c r="A2" t="s">
        <v>218</v>
      </c>
      <c r="B2" t="s">
        <v>219</v>
      </c>
      <c r="E2" t="s">
        <v>218</v>
      </c>
    </row>
    <row r="3" spans="1:5" x14ac:dyDescent="0.2">
      <c r="A3" t="s">
        <v>220</v>
      </c>
      <c r="B3" t="s">
        <v>221</v>
      </c>
      <c r="E3" t="s">
        <v>222</v>
      </c>
    </row>
    <row r="4" spans="1:5" x14ac:dyDescent="0.2">
      <c r="A4" t="s">
        <v>223</v>
      </c>
      <c r="B4" t="s">
        <v>224</v>
      </c>
      <c r="E4" t="s">
        <v>223</v>
      </c>
    </row>
    <row r="5" spans="1:5" x14ac:dyDescent="0.2">
      <c r="A5" t="s">
        <v>226</v>
      </c>
      <c r="B5" t="s">
        <v>227</v>
      </c>
      <c r="E5" t="s">
        <v>225</v>
      </c>
    </row>
    <row r="6" spans="1:5" x14ac:dyDescent="0.2">
      <c r="A6" t="s">
        <v>228</v>
      </c>
      <c r="B6" t="s">
        <v>229</v>
      </c>
      <c r="E6" t="s">
        <v>55</v>
      </c>
    </row>
    <row r="7" spans="1:5" x14ac:dyDescent="0.2">
      <c r="A7" t="s">
        <v>230</v>
      </c>
      <c r="B7" t="s">
        <v>231</v>
      </c>
      <c r="E7" t="s">
        <v>228</v>
      </c>
    </row>
    <row r="8" spans="1:5" x14ac:dyDescent="0.2">
      <c r="A8" t="s">
        <v>232</v>
      </c>
      <c r="B8" t="s">
        <v>233</v>
      </c>
      <c r="E8" t="s">
        <v>230</v>
      </c>
    </row>
    <row r="9" spans="1:5" x14ac:dyDescent="0.2">
      <c r="A9" t="s">
        <v>234</v>
      </c>
      <c r="B9" t="s">
        <v>235</v>
      </c>
      <c r="E9" t="s">
        <v>234</v>
      </c>
    </row>
    <row r="10" spans="1:5" x14ac:dyDescent="0.2">
      <c r="A10" t="s">
        <v>236</v>
      </c>
      <c r="B10" t="s">
        <v>237</v>
      </c>
      <c r="E10" t="s">
        <v>236</v>
      </c>
    </row>
    <row r="11" spans="1:5" x14ac:dyDescent="0.2">
      <c r="A11" t="s">
        <v>238</v>
      </c>
      <c r="B11" t="s">
        <v>239</v>
      </c>
      <c r="E11" t="s">
        <v>242</v>
      </c>
    </row>
    <row r="12" spans="1:5" x14ac:dyDescent="0.2">
      <c r="A12" t="s">
        <v>240</v>
      </c>
      <c r="B12" t="s">
        <v>241</v>
      </c>
      <c r="E12" t="s">
        <v>243</v>
      </c>
    </row>
    <row r="13" spans="1:5" x14ac:dyDescent="0.2">
      <c r="A13" t="s">
        <v>242</v>
      </c>
      <c r="B13" t="s">
        <v>4</v>
      </c>
      <c r="E13" t="s">
        <v>245</v>
      </c>
    </row>
    <row r="14" spans="1:5" x14ac:dyDescent="0.2">
      <c r="A14" t="s">
        <v>243</v>
      </c>
      <c r="B14" t="s">
        <v>244</v>
      </c>
      <c r="E14" t="s">
        <v>247</v>
      </c>
    </row>
    <row r="15" spans="1:5" x14ac:dyDescent="0.2">
      <c r="A15" t="s">
        <v>245</v>
      </c>
      <c r="B15" t="s">
        <v>246</v>
      </c>
      <c r="E15" t="s">
        <v>249</v>
      </c>
    </row>
    <row r="16" spans="1:5" x14ac:dyDescent="0.2">
      <c r="A16" t="s">
        <v>247</v>
      </c>
      <c r="B16" t="s">
        <v>248</v>
      </c>
      <c r="E16" t="s">
        <v>251</v>
      </c>
    </row>
    <row r="17" spans="1:5" x14ac:dyDescent="0.2">
      <c r="A17" t="s">
        <v>249</v>
      </c>
      <c r="B17" t="s">
        <v>250</v>
      </c>
      <c r="E17" t="s">
        <v>253</v>
      </c>
    </row>
    <row r="18" spans="1:5" x14ac:dyDescent="0.2">
      <c r="A18" t="s">
        <v>251</v>
      </c>
      <c r="B18" t="s">
        <v>252</v>
      </c>
      <c r="E18" t="s">
        <v>255</v>
      </c>
    </row>
    <row r="19" spans="1:5" x14ac:dyDescent="0.2">
      <c r="A19" t="s">
        <v>253</v>
      </c>
      <c r="B19" t="s">
        <v>254</v>
      </c>
      <c r="E19" t="s">
        <v>257</v>
      </c>
    </row>
    <row r="20" spans="1:5" x14ac:dyDescent="0.2">
      <c r="A20" t="s">
        <v>255</v>
      </c>
      <c r="B20" t="s">
        <v>256</v>
      </c>
      <c r="E20" t="s">
        <v>259</v>
      </c>
    </row>
    <row r="21" spans="1:5" x14ac:dyDescent="0.2">
      <c r="A21" t="s">
        <v>257</v>
      </c>
      <c r="B21" t="s">
        <v>258</v>
      </c>
      <c r="E21" t="s">
        <v>261</v>
      </c>
    </row>
    <row r="22" spans="1:5" x14ac:dyDescent="0.2">
      <c r="A22" t="s">
        <v>259</v>
      </c>
      <c r="B22" t="s">
        <v>260</v>
      </c>
      <c r="E22" t="s">
        <v>263</v>
      </c>
    </row>
    <row r="23" spans="1:5" x14ac:dyDescent="0.2">
      <c r="A23" t="s">
        <v>261</v>
      </c>
      <c r="B23" t="s">
        <v>262</v>
      </c>
      <c r="E23" t="s">
        <v>265</v>
      </c>
    </row>
    <row r="24" spans="1:5" x14ac:dyDescent="0.2">
      <c r="A24" t="s">
        <v>263</v>
      </c>
      <c r="B24" t="s">
        <v>264</v>
      </c>
      <c r="E24" t="s">
        <v>267</v>
      </c>
    </row>
    <row r="25" spans="1:5" x14ac:dyDescent="0.2">
      <c r="A25" t="s">
        <v>265</v>
      </c>
      <c r="B25" t="s">
        <v>266</v>
      </c>
      <c r="E25" t="s">
        <v>269</v>
      </c>
    </row>
    <row r="26" spans="1:5" x14ac:dyDescent="0.2">
      <c r="A26" t="s">
        <v>267</v>
      </c>
      <c r="B26" t="s">
        <v>268</v>
      </c>
      <c r="E26" t="s">
        <v>271</v>
      </c>
    </row>
    <row r="27" spans="1:5" x14ac:dyDescent="0.2">
      <c r="A27" t="s">
        <v>269</v>
      </c>
      <c r="B27" t="s">
        <v>270</v>
      </c>
      <c r="E27" t="s">
        <v>273</v>
      </c>
    </row>
    <row r="28" spans="1:5" x14ac:dyDescent="0.2">
      <c r="A28" t="s">
        <v>271</v>
      </c>
      <c r="B28" t="s">
        <v>272</v>
      </c>
      <c r="E28" t="s">
        <v>275</v>
      </c>
    </row>
    <row r="29" spans="1:5" x14ac:dyDescent="0.2">
      <c r="A29" t="s">
        <v>273</v>
      </c>
      <c r="B29" t="s">
        <v>274</v>
      </c>
      <c r="E29" t="s">
        <v>277</v>
      </c>
    </row>
    <row r="30" spans="1:5" x14ac:dyDescent="0.2">
      <c r="A30" t="s">
        <v>275</v>
      </c>
      <c r="B30" t="s">
        <v>276</v>
      </c>
      <c r="E30" t="s">
        <v>278</v>
      </c>
    </row>
    <row r="31" spans="1:5" x14ac:dyDescent="0.2">
      <c r="A31" t="s">
        <v>278</v>
      </c>
      <c r="B31" t="s">
        <v>279</v>
      </c>
      <c r="E31" t="s">
        <v>280</v>
      </c>
    </row>
    <row r="32" spans="1:5" x14ac:dyDescent="0.2">
      <c r="A32" t="s">
        <v>280</v>
      </c>
      <c r="B32" t="s">
        <v>281</v>
      </c>
      <c r="E32" t="s">
        <v>282</v>
      </c>
    </row>
    <row r="33" spans="1:5" x14ac:dyDescent="0.2">
      <c r="A33" t="s">
        <v>282</v>
      </c>
      <c r="B33" t="s">
        <v>283</v>
      </c>
      <c r="E33" t="s">
        <v>284</v>
      </c>
    </row>
    <row r="34" spans="1:5" x14ac:dyDescent="0.2">
      <c r="A34" t="s">
        <v>284</v>
      </c>
      <c r="B34" t="s">
        <v>285</v>
      </c>
      <c r="E34" t="s">
        <v>286</v>
      </c>
    </row>
    <row r="35" spans="1:5" x14ac:dyDescent="0.2">
      <c r="A35" t="s">
        <v>286</v>
      </c>
      <c r="B35" t="s">
        <v>287</v>
      </c>
      <c r="E35" t="s">
        <v>288</v>
      </c>
    </row>
    <row r="36" spans="1:5" x14ac:dyDescent="0.2">
      <c r="A36" t="s">
        <v>288</v>
      </c>
      <c r="B36" t="s">
        <v>289</v>
      </c>
      <c r="E36" t="s">
        <v>290</v>
      </c>
    </row>
    <row r="37" spans="1:5" x14ac:dyDescent="0.2">
      <c r="A37" t="s">
        <v>292</v>
      </c>
      <c r="B37" t="s">
        <v>293</v>
      </c>
      <c r="E37" t="s">
        <v>291</v>
      </c>
    </row>
    <row r="38" spans="1:5" x14ac:dyDescent="0.2">
      <c r="A38" t="s">
        <v>294</v>
      </c>
      <c r="B38" t="s">
        <v>295</v>
      </c>
      <c r="E38" t="s">
        <v>294</v>
      </c>
    </row>
    <row r="39" spans="1:5" x14ac:dyDescent="0.2">
      <c r="A39" t="s">
        <v>296</v>
      </c>
      <c r="B39" t="s">
        <v>297</v>
      </c>
      <c r="E39" t="s">
        <v>296</v>
      </c>
    </row>
    <row r="40" spans="1:5" x14ac:dyDescent="0.2">
      <c r="A40" t="s">
        <v>298</v>
      </c>
      <c r="B40" t="s">
        <v>299</v>
      </c>
      <c r="E40" t="s">
        <v>298</v>
      </c>
    </row>
    <row r="41" spans="1:5" x14ac:dyDescent="0.2">
      <c r="A41" t="s">
        <v>300</v>
      </c>
      <c r="B41" t="s">
        <v>301</v>
      </c>
      <c r="E41" t="s">
        <v>300</v>
      </c>
    </row>
    <row r="42" spans="1:5" x14ac:dyDescent="0.2">
      <c r="A42" t="s">
        <v>304</v>
      </c>
      <c r="B42" t="s">
        <v>305</v>
      </c>
      <c r="E42" t="s">
        <v>302</v>
      </c>
    </row>
    <row r="43" spans="1:5" x14ac:dyDescent="0.2">
      <c r="A43" t="s">
        <v>306</v>
      </c>
      <c r="B43" t="s">
        <v>307</v>
      </c>
      <c r="E43" t="s">
        <v>303</v>
      </c>
    </row>
    <row r="44" spans="1:5" x14ac:dyDescent="0.2">
      <c r="A44" t="s">
        <v>308</v>
      </c>
      <c r="B44" t="s">
        <v>309</v>
      </c>
      <c r="E44" t="s">
        <v>304</v>
      </c>
    </row>
    <row r="45" spans="1:5" x14ac:dyDescent="0.2">
      <c r="A45" t="s">
        <v>310</v>
      </c>
      <c r="B45" t="s">
        <v>311</v>
      </c>
      <c r="E45" t="s">
        <v>308</v>
      </c>
    </row>
    <row r="46" spans="1:5" x14ac:dyDescent="0.2">
      <c r="A46" t="s">
        <v>312</v>
      </c>
      <c r="B46" t="s">
        <v>313</v>
      </c>
      <c r="E46" t="s">
        <v>310</v>
      </c>
    </row>
    <row r="47" spans="1:5" x14ac:dyDescent="0.2">
      <c r="A47" t="s">
        <v>314</v>
      </c>
      <c r="B47" t="s">
        <v>315</v>
      </c>
      <c r="E47" t="s">
        <v>312</v>
      </c>
    </row>
    <row r="48" spans="1:5" x14ac:dyDescent="0.2">
      <c r="A48" t="s">
        <v>316</v>
      </c>
      <c r="B48" t="s">
        <v>317</v>
      </c>
      <c r="E48" t="s">
        <v>314</v>
      </c>
    </row>
    <row r="49" spans="5:5" x14ac:dyDescent="0.2">
      <c r="E49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ywan6505</dc:creator>
  <cp:lastModifiedBy>Yadi Wang</cp:lastModifiedBy>
  <dcterms:created xsi:type="dcterms:W3CDTF">2022-07-24T11:26:47Z</dcterms:created>
  <dcterms:modified xsi:type="dcterms:W3CDTF">2022-07-30T12:14:01Z</dcterms:modified>
</cp:coreProperties>
</file>